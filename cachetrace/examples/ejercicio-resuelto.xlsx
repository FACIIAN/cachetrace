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eo Directo(DM)" state="visible" r:id="rId4"/>
    <sheet sheetId="2" name="SA2W" state="visible" r:id="rId5"/>
    <sheet sheetId="3" name="SA4W" state="visible" r:id="rId6"/>
    <sheet sheetId="4" name="FA" state="visible" r:id="rId7"/>
    <sheet sheetId="5" name="DM - evolución" state="visible" r:id="rId8"/>
    <sheet sheetId="6" name="SA2W - evolución" state="visible" r:id="rId9"/>
    <sheet sheetId="7" name="SA4W - evolución" state="visible" r:id="rId10"/>
    <sheet sheetId="8" name="FA - evolución" state="visible" r:id="rId11"/>
    <sheet sheetId="9" name="Registros" state="visible" r:id="rId12"/>
    <sheet sheetId="10" name="Enunciado" state="visible" r:id="rId13"/>
  </sheets>
  <calcPr calcId="171027"/>
</workbook>
</file>

<file path=xl/sharedStrings.xml><?xml version="1.0" encoding="utf-8"?>
<sst xmlns="http://schemas.openxmlformats.org/spreadsheetml/2006/main" count="2773" uniqueCount="231">
  <si>
    <t>INS#</t>
  </si>
  <si>
    <t>FASE</t>
  </si>
  <si>
    <t>DIR#</t>
  </si>
  <si>
    <t>TAG</t>
  </si>
  <si>
    <t>SET# / Index</t>
  </si>
  <si>
    <t>OFFSET</t>
  </si>
  <si>
    <t>MISS/HIT</t>
  </si>
  <si>
    <t>EVICTION</t>
  </si>
  <si>
    <t>WB</t>
  </si>
  <si>
    <t>LÍNEA</t>
  </si>
  <si>
    <t>COMENTARIO</t>
  </si>
  <si>
    <t>li r1, 0x1000</t>
  </si>
  <si>
    <t>Fetch</t>
  </si>
  <si>
    <t>0x0000</t>
  </si>
  <si>
    <t>MISS</t>
  </si>
  <si>
    <t>No</t>
  </si>
  <si>
    <t>-</t>
  </si>
  <si>
    <t>L0</t>
  </si>
  <si>
    <t>Trae el bloque 0x0000-0x0007 a L0</t>
  </si>
  <si>
    <t>Execute</t>
  </si>
  <si>
    <t>li r2, 0x2000</t>
  </si>
  <si>
    <t>0x0004</t>
  </si>
  <si>
    <t>HIT</t>
  </si>
  <si>
    <t>Instrucción ya en caché</t>
  </si>
  <si>
    <t>li r3, 0x2080</t>
  </si>
  <si>
    <t>0x0008</t>
  </si>
  <si>
    <t>L1</t>
  </si>
  <si>
    <t>Trae el bloque 0x0008-0x000F a L1</t>
  </si>
  <si>
    <t>li r4, 2</t>
  </si>
  <si>
    <t>0x000C</t>
  </si>
  <si>
    <t>lw r5, 0(r1)</t>
  </si>
  <si>
    <t>0x0010</t>
  </si>
  <si>
    <t>L2</t>
  </si>
  <si>
    <t>Trae el bloque 0x0010-0x0017 a L2</t>
  </si>
  <si>
    <t>0x1000</t>
  </si>
  <si>
    <t>Sí (L0)</t>
  </si>
  <si>
    <t>Trae el bloque 0x1000-0x1007 a L0; desaloja el bloque 0x0000 de L0 (limpio: no se escribe); r5 ← 0x0011</t>
  </si>
  <si>
    <t>lw r6, 0(r2)</t>
  </si>
  <si>
    <t>0x0014</t>
  </si>
  <si>
    <t>0x2000</t>
  </si>
  <si>
    <t>Trae el bloque 0x2000-0x2007 a L0; desaloja el bloque 0x1000 de L0 (limpio: no se escribe); r6 ← 0x0100</t>
  </si>
  <si>
    <t>add r7, r5, r6</t>
  </si>
  <si>
    <t>0x0018</t>
  </si>
  <si>
    <t>L3</t>
  </si>
  <si>
    <t>Trae el bloque 0x0018-0x001F a L3</t>
  </si>
  <si>
    <t>sw r7, 0(r3)</t>
  </si>
  <si>
    <t>0x001C</t>
  </si>
  <si>
    <t>0x2080</t>
  </si>
  <si>
    <t>Trae el bloque 0x2080-0x2087 a L0; desaloja el bloque 0x2000 de L0 (limpio: no se escribe); M[0x2080] ← 0x0111, D=1</t>
  </si>
  <si>
    <t>addi r1, r1, 4</t>
  </si>
  <si>
    <t>0x0020</t>
  </si>
  <si>
    <t>L4</t>
  </si>
  <si>
    <t>Trae el bloque 0x0020-0x0027 a L4</t>
  </si>
  <si>
    <t>addi r2, r2, 4</t>
  </si>
  <si>
    <t>0x0024</t>
  </si>
  <si>
    <t>addi r3, r3, 4</t>
  </si>
  <si>
    <t>0x0028</t>
  </si>
  <si>
    <t>L5</t>
  </si>
  <si>
    <t>Trae el bloque 0x0028-0x002F a L5</t>
  </si>
  <si>
    <t>addi r4, r4, -1</t>
  </si>
  <si>
    <t>0x002C</t>
  </si>
  <si>
    <t>bne r4, zero, 0x0010</t>
  </si>
  <si>
    <t>0x0030</t>
  </si>
  <si>
    <t>L6</t>
  </si>
  <si>
    <t>Trae el bloque 0x0030-0x0037 a L6</t>
  </si>
  <si>
    <t>0x1004</t>
  </si>
  <si>
    <t>Sí</t>
  </si>
  <si>
    <t>Trae el bloque 0x1000-0x1007 a L0; desaloja el bloque 0x2080 de L0 (sucio: write-back a memoria); r5 ← 0x0022</t>
  </si>
  <si>
    <t>0x2004</t>
  </si>
  <si>
    <t>Trae el bloque 0x2000-0x2007 a L0; desaloja el bloque 0x1000 de L0 (limpio: no se escribe); r6 ← 0x0200</t>
  </si>
  <si>
    <t>0x2084</t>
  </si>
  <si>
    <t>Trae el bloque 0x2080-0x2087 a L0; desaloja el bloque 0x2000 de L0 (limpio: no se escribe); M[0x2084] ← 0x0222, D=1</t>
  </si>
  <si>
    <t>nop</t>
  </si>
  <si>
    <t>0x0034</t>
  </si>
  <si>
    <t>LINE#</t>
  </si>
  <si>
    <t>D</t>
  </si>
  <si>
    <t>V</t>
  </si>
  <si>
    <t>D0</t>
  </si>
  <si>
    <t>D1</t>
  </si>
  <si>
    <t>D2</t>
  </si>
  <si>
    <t>D3</t>
  </si>
  <si>
    <t>D4</t>
  </si>
  <si>
    <t>D5</t>
  </si>
  <si>
    <t>D6</t>
  </si>
  <si>
    <t>D7</t>
  </si>
  <si>
    <t>0x041</t>
  </si>
  <si>
    <t>11</t>
  </si>
  <si>
    <t>01</t>
  </si>
  <si>
    <t>00</t>
  </si>
  <si>
    <t>22</t>
  </si>
  <si>
    <t>02</t>
  </si>
  <si>
    <t>0x000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</si>
  <si>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</si>
  <si>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</si>
  <si>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</si>
  <si>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</si>
  <si>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</si>
  <si>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</si>
  <si>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</si>
  <si>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</si>
  <si>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</si>
  <si>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</si>
  <si>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</si>
  <si>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</si>
  <si>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A</t>
  </si>
  <si>
    <t>B</t>
  </si>
  <si>
    <t>C</t>
  </si>
  <si>
    <t>E</t>
  </si>
  <si>
    <t>F</t>
  </si>
  <si>
    <t>Registro</t>
  </si>
  <si>
    <t>Hex</t>
  </si>
  <si>
    <t>Dec</t>
  </si>
  <si>
    <t>r1</t>
  </si>
  <si>
    <t>0x1008</t>
  </si>
  <si>
    <t>r2</t>
  </si>
  <si>
    <t>0x2008</t>
  </si>
  <si>
    <t>r3</t>
  </si>
  <si>
    <t>0x2088</t>
  </si>
  <si>
    <t>r4</t>
  </si>
  <si>
    <t>r5</t>
  </si>
  <si>
    <t>0x0022</t>
  </si>
  <si>
    <t>r6</t>
  </si>
  <si>
    <t>0x0200</t>
  </si>
  <si>
    <t>r7</t>
  </si>
  <si>
    <t>0x0222</t>
  </si>
  <si>
    <t>Trae el bloque 0x0008-0x000F a L2</t>
  </si>
  <si>
    <t>Trae el bloque 0x0010-0x0017 a L4</t>
  </si>
  <si>
    <t>Trae el bloque 0x1000-0x1007 a L1; r5 ← 0x0011</t>
  </si>
  <si>
    <t>Trae el bloque 0x2000-0x2007 a L0; desaloja el bloque 0x0000 de L0 (limpio: no se escribe); r6 ← 0x0100</t>
  </si>
  <si>
    <t>Trae el bloque 0x0018-0x001F a L6</t>
  </si>
  <si>
    <t>Sí (L1)</t>
  </si>
  <si>
    <t>Trae el bloque 0x2080-0x2087 a L1; desaloja el bloque 0x1000 de L1 (limpio: no se escribe); M[0x2080] ← 0x0111, D=1</t>
  </si>
  <si>
    <t>L8</t>
  </si>
  <si>
    <t>Trae el bloque 0x0020-0x0027 a L8</t>
  </si>
  <si>
    <t>LA</t>
  </si>
  <si>
    <t>Trae el bloque 0x0028-0x002F a LA</t>
  </si>
  <si>
    <t>LC</t>
  </si>
  <si>
    <t>Trae el bloque 0x0030-0x0037 a LC</t>
  </si>
  <si>
    <t>Trae el bloque 0x1000-0x1007 a L0; desaloja el bloque 0x2000 de L0 (limpio: no se escribe); r5 ← 0x0022</t>
  </si>
  <si>
    <t>Trae el bloque 0x2000-0x2007 a L1; desaloja el bloque 0x2080 de L1 (sucio: write-back a memoria); r6 ← 0x0200</t>
  </si>
  <si>
    <t>Trae el bloque 0x2080-0x2087 a L0; desaloja el bloque 0x1000 de L0 (limpio: no se escribe); M[0x2084] ← 0x0222, D=1</t>
  </si>
  <si>
    <t>S#</t>
  </si>
  <si>
    <t>S0</t>
  </si>
  <si>
    <t>0x082</t>
  </si>
  <si>
    <t>0x080</t>
  </si>
  <si>
    <t>S1</t>
  </si>
  <si>
    <t>S2</t>
  </si>
  <si>
    <t>S3</t>
  </si>
  <si>
    <t>S4</t>
  </si>
  <si>
    <t>S5</t>
  </si>
  <si>
    <t>S6</t>
  </si>
  <si>
    <t>S7</t>
  </si>
  <si>
    <t>SET#</t>
  </si>
  <si>
    <t>Trae el bloque 0x0008-0x000F a L4</t>
  </si>
  <si>
    <t>Trae el bloque 0x0010-0x0017 a L8</t>
  </si>
  <si>
    <t>Trae el bloque 0x2000-0x2007 a L2; r6 ← 0x0100</t>
  </si>
  <si>
    <t>Trae el bloque 0x0018-0x001F a LC</t>
  </si>
  <si>
    <t>Trae el bloque 0x2080-0x2087 a L3; M[0x2080] ← 0x0111, D=1</t>
  </si>
  <si>
    <t>Trae el bloque 0x0020-0x0027 a L0; desaloja el bloque 0x0000 de L0 (limpio: no se escribe)</t>
  </si>
  <si>
    <t>L9</t>
  </si>
  <si>
    <t>Trae el bloque 0x0030-0x0037 a L9</t>
  </si>
  <si>
    <t>Dato ya en caché; r5 ← 0x0022</t>
  </si>
  <si>
    <t>Dato ya en caché; r6 ← 0x0200</t>
  </si>
  <si>
    <t>Dato ya en caché; M[0x2084] ← 0x0222, D=1</t>
  </si>
  <si>
    <t>0x001</t>
  </si>
  <si>
    <t>0x100</t>
  </si>
  <si>
    <t>0x104</t>
  </si>
  <si>
    <t>Trae el bloque 0x1000-0x1007 a L3; r5 ← 0x0011</t>
  </si>
  <si>
    <t>Trae el bloque 0x2000-0x2007 a L4; r6 ← 0x0100</t>
  </si>
  <si>
    <t>Trae el bloque 0x0018-0x001F a L5</t>
  </si>
  <si>
    <t>Trae el bloque 0x2080-0x2087 a L6; M[0x2080] ← 0x0111, D=1</t>
  </si>
  <si>
    <t>L7</t>
  </si>
  <si>
    <t>Trae el bloque 0x0020-0x0027 a L7</t>
  </si>
  <si>
    <t>Trae el bloque 0x0028-0x002F a L8</t>
  </si>
  <si>
    <t>I0</t>
  </si>
  <si>
    <t>I1</t>
  </si>
  <si>
    <t>0x0001</t>
  </si>
  <si>
    <t>0x0002</t>
  </si>
  <si>
    <t>0x0400</t>
  </si>
  <si>
    <t>0x0003</t>
  </si>
  <si>
    <t>0x0410</t>
  </si>
  <si>
    <t>0x0005</t>
  </si>
  <si>
    <t>0x0006</t>
  </si>
  <si>
    <t>Paso</t>
  </si>
  <si>
    <t>Fase</t>
  </si>
  <si>
    <t>Instrucción</t>
  </si>
  <si>
    <t>Dirección</t>
  </si>
  <si>
    <t>Resultado</t>
  </si>
  <si>
    <t>Línea</t>
  </si>
  <si>
    <t>MISS + desaloja L0</t>
  </si>
  <si>
    <t>0x020</t>
  </si>
  <si>
    <t>0x040</t>
  </si>
  <si>
    <t>MISS + desaloja L1</t>
  </si>
  <si>
    <t>Ins#</t>
  </si>
  <si>
    <t/>
  </si>
  <si>
    <t>Estado inicial</t>
  </si>
  <si>
    <t>0x0011</t>
  </si>
  <si>
    <t>0x0100</t>
  </si>
  <si>
    <t>0x0111</t>
  </si>
  <si>
    <t>Datos del ejercicio</t>
  </si>
  <si>
    <t>Bus de direcciones</t>
  </si>
  <si>
    <t>16 bits</t>
  </si>
  <si>
    <t>Memoria principal</t>
  </si>
  <si>
    <t>65536 bytes</t>
  </si>
  <si>
    <t>Caché</t>
  </si>
  <si>
    <t>128 bytes</t>
  </si>
  <si>
    <t>Bytes por línea (B)</t>
  </si>
  <si>
    <t>Líneas</t>
  </si>
  <si>
    <t>Reemplazo</t>
  </si>
  <si>
    <t>LRU</t>
  </si>
  <si>
    <t>Política de escritura</t>
  </si>
  <si>
    <t>Write-back con write-allocate</t>
  </si>
  <si>
    <t>Orden de bytes</t>
  </si>
  <si>
    <t>Little-endian</t>
  </si>
  <si>
    <t>Programa cargado en</t>
  </si>
  <si>
    <t>Reparto de bits</t>
  </si>
  <si>
    <t>INDEX</t>
  </si>
  <si>
    <t>Mapeo directo</t>
  </si>
  <si>
    <t>Asociativa por conjuntos, 2 vías</t>
  </si>
  <si>
    <t>Asociativa por conjuntos, 4 vías</t>
  </si>
  <si>
    <t>Totalmente asociativa</t>
  </si>
  <si>
    <t>Resultados</t>
  </si>
  <si>
    <t>Accesos</t>
  </si>
  <si>
    <t>Hits</t>
  </si>
  <si>
    <t>Misses</t>
  </si>
  <si>
    <t>Tasa de aciertos</t>
  </si>
  <si>
    <t>Evictions</t>
  </si>
  <si>
    <t>Write-backs</t>
  </si>
  <si>
    <t>Programa</t>
  </si>
  <si>
    <t>Dump de datos (byte a byte, hexadecimal)</t>
  </si>
  <si>
    <t>Bloque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</si>
</sst>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EA9999"/>
      </patternFill>
    </fill>
    <fill>
      <patternFill patternType="solid">
        <fgColor rgb="FFC9DAF8"/>
      </patternFill>
    </fill>
    <fill>
      <patternFill patternType="solid">
        <fgColor rgb="FFB6D7A8"/>
      </patternFill>
    </fill>
    <fill>
      <patternFill patternType="solid">
        <fgColor rgb="FFFFF0B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horizontal="center" vertical="bottom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/>
    <xf numFmtId="0" fontId="2" fillId="0" borderId="7" xfId="0" applyFont="1" applyBorder="1"/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0" xfId="0" applyFont="1" applyBorder="1" applyAlignment="1">
      <alignment horizontal="left"/>
    </xf>
    <xf numFmtId="0" fontId="1" fillId="6" borderId="10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10" customWidth="1"/>
    <col min="4" max="19" width="4.3" customWidth="1"/>
    <col min="20" max="20" width="9.5" customWidth="1"/>
    <col min="23" max="23" width="10" customWidth="1"/>
    <col min="24" max="24" width="11" customWidth="1"/>
    <col min="25" max="25" width="6" customWidth="1"/>
    <col min="26" max="26" width="8" customWidth="1"/>
    <col min="27" max="27" width="9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2">
        <v>15</v>
      </c>
      <c r="E1" s="2">
        <v>14</v>
      </c>
      <c r="F1" s="2">
        <v>13</v>
      </c>
      <c r="G1" s="2">
        <v>12</v>
      </c>
      <c r="H1" s="2">
        <v>11</v>
      </c>
      <c r="I1" s="2">
        <v>10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</row>
    <row r="2" spans="1:27" x14ac:dyDescent="0.25">
      <c r="A2" s="3" t="s">
        <v>11</v>
      </c>
      <c r="B2" s="4" t="s">
        <v>12</v>
      </c>
      <c r="C2" s="5" t="s">
        <v>13</v>
      </c>
      <c r="D2" s="6">
        <f>MOD(INT(HEX2DEC(MID($C2,3,10))/32768),2)</f>
        <v>0</v>
      </c>
      <c r="E2" s="7">
        <f>MOD(INT(HEX2DEC(MID($C2,3,10))/16384),2)</f>
        <v>0</v>
      </c>
      <c r="F2" s="7">
        <f>MOD(INT(HEX2DEC(MID($C2,3,10))/8192),2)</f>
        <v>0</v>
      </c>
      <c r="G2" s="7">
        <f>MOD(INT(HEX2DEC(MID($C2,3,10))/4096),2)</f>
        <v>0</v>
      </c>
      <c r="H2" s="7">
        <f>MOD(INT(HEX2DEC(MID($C2,3,10))/2048),2)</f>
        <v>0</v>
      </c>
      <c r="I2" s="7">
        <f>MOD(INT(HEX2DEC(MID($C2,3,10))/1024),2)</f>
        <v>0</v>
      </c>
      <c r="J2" s="7">
        <f>MOD(INT(HEX2DEC(MID($C2,3,10))/512),2)</f>
        <v>0</v>
      </c>
      <c r="K2" s="7">
        <f>MOD(INT(HEX2DEC(MID($C2,3,10))/256),2)</f>
        <v>0</v>
      </c>
      <c r="L2" s="7">
        <f>MOD(INT(HEX2DEC(MID($C2,3,10))/128),2)</f>
        <v>0</v>
      </c>
      <c r="M2" s="8">
        <f>MOD(INT(HEX2DEC(MID($C2,3,10))/64),2)</f>
        <v>0</v>
      </c>
      <c r="N2" s="8">
        <f>MOD(INT(HEX2DEC(MID($C2,3,10))/32),2)</f>
        <v>0</v>
      </c>
      <c r="O2" s="8">
        <f>MOD(INT(HEX2DEC(MID($C2,3,10))/16),2)</f>
        <v>0</v>
      </c>
      <c r="P2" s="8">
        <f>MOD(INT(HEX2DEC(MID($C2,3,10))/8),2)</f>
        <v>0</v>
      </c>
      <c r="Q2" s="9">
        <f>MOD(INT(HEX2DEC(MID($C2,3,10))/4),2)</f>
        <v>0</v>
      </c>
      <c r="R2" s="9">
        <f>MOD(INT(HEX2DEC(MID($C2,3,10))/2),2)</f>
        <v>0</v>
      </c>
      <c r="S2" s="9">
        <f>MOD(INT(HEX2DEC(MID($C2,3,10))/1),2)</f>
        <v>0</v>
      </c>
      <c r="T2" s="10" t="str">
        <f>"0x"&amp;DEC2HEX(INT(HEX2DEC(MID($C2,3,10))/128),3)</f>
        <v>0x000</v>
      </c>
      <c r="U2" s="10" t="str">
        <f>M2&amp;N2&amp;O2&amp;P2</f>
        <v>0000</v>
      </c>
      <c r="V2" s="10" t="str">
        <f>Q2&amp;R2&amp;S2</f>
        <v>000</v>
      </c>
      <c r="W2" s="10" t="s">
        <v>14</v>
      </c>
      <c r="X2" s="10" t="s">
        <v>15</v>
      </c>
      <c r="Y2" s="10" t="s">
        <v>16</v>
      </c>
      <c r="Z2" s="10" t="s">
        <v>17</v>
      </c>
      <c r="AA2" s="11" t="s">
        <v>18</v>
      </c>
    </row>
    <row r="3" spans="1:27" x14ac:dyDescent="0.25">
      <c r="A3" s="3"/>
      <c r="B3" s="12" t="s">
        <v>19</v>
      </c>
      <c r="C3" s="13"/>
      <c r="D3" s="14"/>
      <c r="E3" s="15"/>
      <c r="F3" s="15"/>
      <c r="G3" s="15"/>
      <c r="H3" s="15"/>
      <c r="I3" s="15"/>
      <c r="J3" s="15"/>
      <c r="K3" s="15"/>
      <c r="L3" s="15"/>
      <c r="M3" s="16"/>
      <c r="N3" s="16"/>
      <c r="O3" s="16"/>
      <c r="P3" s="16"/>
      <c r="Q3" s="17"/>
      <c r="R3" s="17"/>
      <c r="S3" s="17"/>
      <c r="T3" s="18"/>
      <c r="U3" s="18"/>
      <c r="V3" s="18"/>
      <c r="W3" s="18"/>
      <c r="X3" s="18"/>
      <c r="Y3" s="18"/>
      <c r="Z3" s="18"/>
      <c r="AA3" s="19"/>
    </row>
    <row r="4" spans="1:27" x14ac:dyDescent="0.25">
      <c r="A4" s="3" t="s">
        <v>20</v>
      </c>
      <c r="B4" s="4" t="s">
        <v>12</v>
      </c>
      <c r="C4" s="5" t="s">
        <v>21</v>
      </c>
      <c r="D4" s="6">
        <f>MOD(INT(HEX2DEC(MID($C4,3,10))/32768),2)</f>
        <v>0</v>
      </c>
      <c r="E4" s="7">
        <f>MOD(INT(HEX2DEC(MID($C4,3,10))/16384),2)</f>
        <v>0</v>
      </c>
      <c r="F4" s="7">
        <f>MOD(INT(HEX2DEC(MID($C4,3,10))/8192),2)</f>
        <v>0</v>
      </c>
      <c r="G4" s="7">
        <f>MOD(INT(HEX2DEC(MID($C4,3,10))/4096),2)</f>
        <v>0</v>
      </c>
      <c r="H4" s="7">
        <f>MOD(INT(HEX2DEC(MID($C4,3,10))/2048),2)</f>
        <v>0</v>
      </c>
      <c r="I4" s="7">
        <f>MOD(INT(HEX2DEC(MID($C4,3,10))/1024),2)</f>
        <v>0</v>
      </c>
      <c r="J4" s="7">
        <f>MOD(INT(HEX2DEC(MID($C4,3,10))/512),2)</f>
        <v>0</v>
      </c>
      <c r="K4" s="7">
        <f>MOD(INT(HEX2DEC(MID($C4,3,10))/256),2)</f>
        <v>0</v>
      </c>
      <c r="L4" s="7">
        <f>MOD(INT(HEX2DEC(MID($C4,3,10))/128),2)</f>
        <v>0</v>
      </c>
      <c r="M4" s="8">
        <f>MOD(INT(HEX2DEC(MID($C4,3,10))/64),2)</f>
        <v>0</v>
      </c>
      <c r="N4" s="8">
        <f>MOD(INT(HEX2DEC(MID($C4,3,10))/32),2)</f>
        <v>0</v>
      </c>
      <c r="O4" s="8">
        <f>MOD(INT(HEX2DEC(MID($C4,3,10))/16),2)</f>
        <v>0</v>
      </c>
      <c r="P4" s="8">
        <f>MOD(INT(HEX2DEC(MID($C4,3,10))/8),2)</f>
        <v>0</v>
      </c>
      <c r="Q4" s="9">
        <f>MOD(INT(HEX2DEC(MID($C4,3,10))/4),2)</f>
        <v>1</v>
      </c>
      <c r="R4" s="9">
        <f>MOD(INT(HEX2DEC(MID($C4,3,10))/2),2)</f>
        <v>0</v>
      </c>
      <c r="S4" s="9">
        <f>MOD(INT(HEX2DEC(MID($C4,3,10))/1),2)</f>
        <v>0</v>
      </c>
      <c r="T4" s="10" t="str">
        <f>"0x"&amp;DEC2HEX(INT(HEX2DEC(MID($C4,3,10))/128),3)</f>
        <v>0x000</v>
      </c>
      <c r="U4" s="10" t="str">
        <f>M4&amp;N4&amp;O4&amp;P4</f>
        <v>0000</v>
      </c>
      <c r="V4" s="10" t="str">
        <f>Q4&amp;R4&amp;S4</f>
        <v>100</v>
      </c>
      <c r="W4" s="10" t="s">
        <v>22</v>
      </c>
      <c r="X4" s="10" t="s">
        <v>16</v>
      </c>
      <c r="Y4" s="10" t="s">
        <v>16</v>
      </c>
      <c r="Z4" s="10" t="s">
        <v>17</v>
      </c>
      <c r="AA4" s="11" t="s">
        <v>23</v>
      </c>
    </row>
    <row r="5" spans="1:27" x14ac:dyDescent="0.25">
      <c r="A5" s="3"/>
      <c r="B5" s="12" t="s">
        <v>19</v>
      </c>
      <c r="C5" s="13"/>
      <c r="D5" s="14"/>
      <c r="E5" s="15"/>
      <c r="F5" s="15"/>
      <c r="G5" s="15"/>
      <c r="H5" s="15"/>
      <c r="I5" s="15"/>
      <c r="J5" s="15"/>
      <c r="K5" s="15"/>
      <c r="L5" s="15"/>
      <c r="M5" s="16"/>
      <c r="N5" s="16"/>
      <c r="O5" s="16"/>
      <c r="P5" s="16"/>
      <c r="Q5" s="17"/>
      <c r="R5" s="17"/>
      <c r="S5" s="17"/>
      <c r="T5" s="18"/>
      <c r="U5" s="18"/>
      <c r="V5" s="18"/>
      <c r="W5" s="18"/>
      <c r="X5" s="18"/>
      <c r="Y5" s="18"/>
      <c r="Z5" s="18"/>
      <c r="AA5" s="19"/>
    </row>
    <row r="6" spans="1:27" x14ac:dyDescent="0.25">
      <c r="A6" s="3" t="s">
        <v>24</v>
      </c>
      <c r="B6" s="4" t="s">
        <v>12</v>
      </c>
      <c r="C6" s="5" t="s">
        <v>25</v>
      </c>
      <c r="D6" s="6">
        <f>MOD(INT(HEX2DEC(MID($C6,3,10))/32768),2)</f>
        <v>0</v>
      </c>
      <c r="E6" s="7">
        <f>MOD(INT(HEX2DEC(MID($C6,3,10))/16384),2)</f>
        <v>0</v>
      </c>
      <c r="F6" s="7">
        <f>MOD(INT(HEX2DEC(MID($C6,3,10))/8192),2)</f>
        <v>0</v>
      </c>
      <c r="G6" s="7">
        <f>MOD(INT(HEX2DEC(MID($C6,3,10))/4096),2)</f>
        <v>0</v>
      </c>
      <c r="H6" s="7">
        <f>MOD(INT(HEX2DEC(MID($C6,3,10))/2048),2)</f>
        <v>0</v>
      </c>
      <c r="I6" s="7">
        <f>MOD(INT(HEX2DEC(MID($C6,3,10))/1024),2)</f>
        <v>0</v>
      </c>
      <c r="J6" s="7">
        <f>MOD(INT(HEX2DEC(MID($C6,3,10))/512),2)</f>
        <v>0</v>
      </c>
      <c r="K6" s="7">
        <f>MOD(INT(HEX2DEC(MID($C6,3,10))/256),2)</f>
        <v>0</v>
      </c>
      <c r="L6" s="7">
        <f>MOD(INT(HEX2DEC(MID($C6,3,10))/128),2)</f>
        <v>0</v>
      </c>
      <c r="M6" s="8">
        <f>MOD(INT(HEX2DEC(MID($C6,3,10))/64),2)</f>
        <v>0</v>
      </c>
      <c r="N6" s="8">
        <f>MOD(INT(HEX2DEC(MID($C6,3,10))/32),2)</f>
        <v>0</v>
      </c>
      <c r="O6" s="8">
        <f>MOD(INT(HEX2DEC(MID($C6,3,10))/16),2)</f>
        <v>0</v>
      </c>
      <c r="P6" s="8">
        <f>MOD(INT(HEX2DEC(MID($C6,3,10))/8),2)</f>
        <v>1</v>
      </c>
      <c r="Q6" s="9">
        <f>MOD(INT(HEX2DEC(MID($C6,3,10))/4),2)</f>
        <v>0</v>
      </c>
      <c r="R6" s="9">
        <f>MOD(INT(HEX2DEC(MID($C6,3,10))/2),2)</f>
        <v>0</v>
      </c>
      <c r="S6" s="9">
        <f>MOD(INT(HEX2DEC(MID($C6,3,10))/1),2)</f>
        <v>0</v>
      </c>
      <c r="T6" s="10" t="str">
        <f>"0x"&amp;DEC2HEX(INT(HEX2DEC(MID($C6,3,10))/128),3)</f>
        <v>0x000</v>
      </c>
      <c r="U6" s="10" t="str">
        <f>M6&amp;N6&amp;O6&amp;P6</f>
        <v>0001</v>
      </c>
      <c r="V6" s="10" t="str">
        <f>Q6&amp;R6&amp;S6</f>
        <v>000</v>
      </c>
      <c r="W6" s="10" t="s">
        <v>14</v>
      </c>
      <c r="X6" s="10" t="s">
        <v>15</v>
      </c>
      <c r="Y6" s="10" t="s">
        <v>16</v>
      </c>
      <c r="Z6" s="10" t="s">
        <v>26</v>
      </c>
      <c r="AA6" s="11" t="s">
        <v>27</v>
      </c>
    </row>
    <row r="7" spans="1:27" x14ac:dyDescent="0.25">
      <c r="A7" s="3"/>
      <c r="B7" s="12" t="s">
        <v>19</v>
      </c>
      <c r="C7" s="13"/>
      <c r="D7" s="14"/>
      <c r="E7" s="15"/>
      <c r="F7" s="15"/>
      <c r="G7" s="15"/>
      <c r="H7" s="15"/>
      <c r="I7" s="15"/>
      <c r="J7" s="15"/>
      <c r="K7" s="15"/>
      <c r="L7" s="15"/>
      <c r="M7" s="16"/>
      <c r="N7" s="16"/>
      <c r="O7" s="16"/>
      <c r="P7" s="16"/>
      <c r="Q7" s="17"/>
      <c r="R7" s="17"/>
      <c r="S7" s="17"/>
      <c r="T7" s="18"/>
      <c r="U7" s="18"/>
      <c r="V7" s="18"/>
      <c r="W7" s="18"/>
      <c r="X7" s="18"/>
      <c r="Y7" s="18"/>
      <c r="Z7" s="18"/>
      <c r="AA7" s="19"/>
    </row>
    <row r="8" spans="1:27" x14ac:dyDescent="0.25">
      <c r="A8" s="3" t="s">
        <v>28</v>
      </c>
      <c r="B8" s="4" t="s">
        <v>12</v>
      </c>
      <c r="C8" s="5" t="s">
        <v>29</v>
      </c>
      <c r="D8" s="6">
        <f>MOD(INT(HEX2DEC(MID($C8,3,10))/32768),2)</f>
        <v>0</v>
      </c>
      <c r="E8" s="7">
        <f>MOD(INT(HEX2DEC(MID($C8,3,10))/16384),2)</f>
        <v>0</v>
      </c>
      <c r="F8" s="7">
        <f>MOD(INT(HEX2DEC(MID($C8,3,10))/8192),2)</f>
        <v>0</v>
      </c>
      <c r="G8" s="7">
        <f>MOD(INT(HEX2DEC(MID($C8,3,10))/4096),2)</f>
        <v>0</v>
      </c>
      <c r="H8" s="7">
        <f>MOD(INT(HEX2DEC(MID($C8,3,10))/2048),2)</f>
        <v>0</v>
      </c>
      <c r="I8" s="7">
        <f>MOD(INT(HEX2DEC(MID($C8,3,10))/1024),2)</f>
        <v>0</v>
      </c>
      <c r="J8" s="7">
        <f>MOD(INT(HEX2DEC(MID($C8,3,10))/512),2)</f>
        <v>0</v>
      </c>
      <c r="K8" s="7">
        <f>MOD(INT(HEX2DEC(MID($C8,3,10))/256),2)</f>
        <v>0</v>
      </c>
      <c r="L8" s="7">
        <f>MOD(INT(HEX2DEC(MID($C8,3,10))/128),2)</f>
        <v>0</v>
      </c>
      <c r="M8" s="8">
        <f>MOD(INT(HEX2DEC(MID($C8,3,10))/64),2)</f>
        <v>0</v>
      </c>
      <c r="N8" s="8">
        <f>MOD(INT(HEX2DEC(MID($C8,3,10))/32),2)</f>
        <v>0</v>
      </c>
      <c r="O8" s="8">
        <f>MOD(INT(HEX2DEC(MID($C8,3,10))/16),2)</f>
        <v>0</v>
      </c>
      <c r="P8" s="8">
        <f>MOD(INT(HEX2DEC(MID($C8,3,10))/8),2)</f>
        <v>1</v>
      </c>
      <c r="Q8" s="9">
        <f>MOD(INT(HEX2DEC(MID($C8,3,10))/4),2)</f>
        <v>1</v>
      </c>
      <c r="R8" s="9">
        <f>MOD(INT(HEX2DEC(MID($C8,3,10))/2),2)</f>
        <v>0</v>
      </c>
      <c r="S8" s="9">
        <f>MOD(INT(HEX2DEC(MID($C8,3,10))/1),2)</f>
        <v>0</v>
      </c>
      <c r="T8" s="10" t="str">
        <f>"0x"&amp;DEC2HEX(INT(HEX2DEC(MID($C8,3,10))/128),3)</f>
        <v>0x000</v>
      </c>
      <c r="U8" s="10" t="str">
        <f>M8&amp;N8&amp;O8&amp;P8</f>
        <v>0001</v>
      </c>
      <c r="V8" s="10" t="str">
        <f>Q8&amp;R8&amp;S8</f>
        <v>100</v>
      </c>
      <c r="W8" s="10" t="s">
        <v>22</v>
      </c>
      <c r="X8" s="10" t="s">
        <v>16</v>
      </c>
      <c r="Y8" s="10" t="s">
        <v>16</v>
      </c>
      <c r="Z8" s="10" t="s">
        <v>26</v>
      </c>
      <c r="AA8" s="11" t="s">
        <v>23</v>
      </c>
    </row>
    <row r="9" spans="1:27" x14ac:dyDescent="0.25">
      <c r="A9" s="3"/>
      <c r="B9" s="12" t="s">
        <v>19</v>
      </c>
      <c r="C9" s="13"/>
      <c r="D9" s="14"/>
      <c r="E9" s="15"/>
      <c r="F9" s="15"/>
      <c r="G9" s="15"/>
      <c r="H9" s="15"/>
      <c r="I9" s="15"/>
      <c r="J9" s="15"/>
      <c r="K9" s="15"/>
      <c r="L9" s="15"/>
      <c r="M9" s="16"/>
      <c r="N9" s="16"/>
      <c r="O9" s="16"/>
      <c r="P9" s="16"/>
      <c r="Q9" s="17"/>
      <c r="R9" s="17"/>
      <c r="S9" s="17"/>
      <c r="T9" s="18"/>
      <c r="U9" s="18"/>
      <c r="V9" s="18"/>
      <c r="W9" s="18"/>
      <c r="X9" s="18"/>
      <c r="Y9" s="18"/>
      <c r="Z9" s="18"/>
      <c r="AA9" s="19"/>
    </row>
    <row r="10" spans="1:27" x14ac:dyDescent="0.25">
      <c r="A10" s="3" t="s">
        <v>30</v>
      </c>
      <c r="B10" s="4" t="s">
        <v>12</v>
      </c>
      <c r="C10" s="5" t="s">
        <v>31</v>
      </c>
      <c r="D10" s="6">
        <f>MOD(INT(HEX2DEC(MID($C10,3,10))/32768),2)</f>
        <v>0</v>
      </c>
      <c r="E10" s="7">
        <f>MOD(INT(HEX2DEC(MID($C10,3,10))/16384),2)</f>
        <v>0</v>
      </c>
      <c r="F10" s="7">
        <f>MOD(INT(HEX2DEC(MID($C10,3,10))/8192),2)</f>
        <v>0</v>
      </c>
      <c r="G10" s="7">
        <f>MOD(INT(HEX2DEC(MID($C10,3,10))/4096),2)</f>
        <v>0</v>
      </c>
      <c r="H10" s="7">
        <f>MOD(INT(HEX2DEC(MID($C10,3,10))/2048),2)</f>
        <v>0</v>
      </c>
      <c r="I10" s="7">
        <f>MOD(INT(HEX2DEC(MID($C10,3,10))/1024),2)</f>
        <v>0</v>
      </c>
      <c r="J10" s="7">
        <f>MOD(INT(HEX2DEC(MID($C10,3,10))/512),2)</f>
        <v>0</v>
      </c>
      <c r="K10" s="7">
        <f>MOD(INT(HEX2DEC(MID($C10,3,10))/256),2)</f>
        <v>0</v>
      </c>
      <c r="L10" s="7">
        <f>MOD(INT(HEX2DEC(MID($C10,3,10))/128),2)</f>
        <v>0</v>
      </c>
      <c r="M10" s="8">
        <f>MOD(INT(HEX2DEC(MID($C10,3,10))/64),2)</f>
        <v>0</v>
      </c>
      <c r="N10" s="8">
        <f>MOD(INT(HEX2DEC(MID($C10,3,10))/32),2)</f>
        <v>0</v>
      </c>
      <c r="O10" s="8">
        <f>MOD(INT(HEX2DEC(MID($C10,3,10))/16),2)</f>
        <v>1</v>
      </c>
      <c r="P10" s="8">
        <f>MOD(INT(HEX2DEC(MID($C10,3,10))/8),2)</f>
        <v>0</v>
      </c>
      <c r="Q10" s="9">
        <f>MOD(INT(HEX2DEC(MID($C10,3,10))/4),2)</f>
        <v>0</v>
      </c>
      <c r="R10" s="9">
        <f>MOD(INT(HEX2DEC(MID($C10,3,10))/2),2)</f>
        <v>0</v>
      </c>
      <c r="S10" s="9">
        <f>MOD(INT(HEX2DEC(MID($C10,3,10))/1),2)</f>
        <v>0</v>
      </c>
      <c r="T10" s="10" t="str">
        <f>"0x"&amp;DEC2HEX(INT(HEX2DEC(MID($C10,3,10))/128),3)</f>
        <v>0x000</v>
      </c>
      <c r="U10" s="10" t="str">
        <f>M10&amp;N10&amp;O10&amp;P10</f>
        <v>0010</v>
      </c>
      <c r="V10" s="10" t="str">
        <f>Q10&amp;R10&amp;S10</f>
        <v>000</v>
      </c>
      <c r="W10" s="10" t="s">
        <v>14</v>
      </c>
      <c r="X10" s="10" t="s">
        <v>15</v>
      </c>
      <c r="Y10" s="10" t="s">
        <v>16</v>
      </c>
      <c r="Z10" s="10" t="s">
        <v>32</v>
      </c>
      <c r="AA10" s="11" t="s">
        <v>33</v>
      </c>
    </row>
    <row r="11" spans="1:27" x14ac:dyDescent="0.25">
      <c r="A11" s="3"/>
      <c r="B11" s="12" t="s">
        <v>19</v>
      </c>
      <c r="C11" s="13" t="s">
        <v>34</v>
      </c>
      <c r="D11" s="14">
        <f>MOD(INT(HEX2DEC(MID($C11,3,10))/32768),2)</f>
        <v>0</v>
      </c>
      <c r="E11" s="15">
        <f>MOD(INT(HEX2DEC(MID($C11,3,10))/16384),2)</f>
        <v>0</v>
      </c>
      <c r="F11" s="15">
        <f>MOD(INT(HEX2DEC(MID($C11,3,10))/8192),2)</f>
        <v>0</v>
      </c>
      <c r="G11" s="15">
        <f>MOD(INT(HEX2DEC(MID($C11,3,10))/4096),2)</f>
        <v>1</v>
      </c>
      <c r="H11" s="15">
        <f>MOD(INT(HEX2DEC(MID($C11,3,10))/2048),2)</f>
        <v>0</v>
      </c>
      <c r="I11" s="15">
        <f>MOD(INT(HEX2DEC(MID($C11,3,10))/1024),2)</f>
        <v>0</v>
      </c>
      <c r="J11" s="15">
        <f>MOD(INT(HEX2DEC(MID($C11,3,10))/512),2)</f>
        <v>0</v>
      </c>
      <c r="K11" s="15">
        <f>MOD(INT(HEX2DEC(MID($C11,3,10))/256),2)</f>
        <v>0</v>
      </c>
      <c r="L11" s="15">
        <f>MOD(INT(HEX2DEC(MID($C11,3,10))/128),2)</f>
        <v>0</v>
      </c>
      <c r="M11" s="16">
        <f>MOD(INT(HEX2DEC(MID($C11,3,10))/64),2)</f>
        <v>0</v>
      </c>
      <c r="N11" s="16">
        <f>MOD(INT(HEX2DEC(MID($C11,3,10))/32),2)</f>
        <v>0</v>
      </c>
      <c r="O11" s="16">
        <f>MOD(INT(HEX2DEC(MID($C11,3,10))/16),2)</f>
        <v>0</v>
      </c>
      <c r="P11" s="16">
        <f>MOD(INT(HEX2DEC(MID($C11,3,10))/8),2)</f>
        <v>0</v>
      </c>
      <c r="Q11" s="17">
        <f>MOD(INT(HEX2DEC(MID($C11,3,10))/4),2)</f>
        <v>0</v>
      </c>
      <c r="R11" s="17">
        <f>MOD(INT(HEX2DEC(MID($C11,3,10))/2),2)</f>
        <v>0</v>
      </c>
      <c r="S11" s="17">
        <f>MOD(INT(HEX2DEC(MID($C11,3,10))/1),2)</f>
        <v>0</v>
      </c>
      <c r="T11" s="18" t="str">
        <f>"0x"&amp;DEC2HEX(INT(HEX2DEC(MID($C11,3,10))/128),3)</f>
        <v>0x020</v>
      </c>
      <c r="U11" s="18" t="str">
        <f>M11&amp;N11&amp;O11&amp;P11</f>
        <v>0000</v>
      </c>
      <c r="V11" s="18" t="str">
        <f>Q11&amp;R11&amp;S11</f>
        <v>000</v>
      </c>
      <c r="W11" s="18" t="s">
        <v>14</v>
      </c>
      <c r="X11" s="18" t="s">
        <v>35</v>
      </c>
      <c r="Y11" s="18" t="s">
        <v>15</v>
      </c>
      <c r="Z11" s="18" t="s">
        <v>17</v>
      </c>
      <c r="AA11" s="19" t="s">
        <v>36</v>
      </c>
    </row>
    <row r="12" spans="1:27" x14ac:dyDescent="0.25">
      <c r="A12" s="3" t="s">
        <v>37</v>
      </c>
      <c r="B12" s="4" t="s">
        <v>12</v>
      </c>
      <c r="C12" s="5" t="s">
        <v>38</v>
      </c>
      <c r="D12" s="6">
        <f>MOD(INT(HEX2DEC(MID($C12,3,10))/32768),2)</f>
        <v>0</v>
      </c>
      <c r="E12" s="7">
        <f>MOD(INT(HEX2DEC(MID($C12,3,10))/16384),2)</f>
        <v>0</v>
      </c>
      <c r="F12" s="7">
        <f>MOD(INT(HEX2DEC(MID($C12,3,10))/8192),2)</f>
        <v>0</v>
      </c>
      <c r="G12" s="7">
        <f>MOD(INT(HEX2DEC(MID($C12,3,10))/4096),2)</f>
        <v>0</v>
      </c>
      <c r="H12" s="7">
        <f>MOD(INT(HEX2DEC(MID($C12,3,10))/2048),2)</f>
        <v>0</v>
      </c>
      <c r="I12" s="7">
        <f>MOD(INT(HEX2DEC(MID($C12,3,10))/1024),2)</f>
        <v>0</v>
      </c>
      <c r="J12" s="7">
        <f>MOD(INT(HEX2DEC(MID($C12,3,10))/512),2)</f>
        <v>0</v>
      </c>
      <c r="K12" s="7">
        <f>MOD(INT(HEX2DEC(MID($C12,3,10))/256),2)</f>
        <v>0</v>
      </c>
      <c r="L12" s="7">
        <f>MOD(INT(HEX2DEC(MID($C12,3,10))/128),2)</f>
        <v>0</v>
      </c>
      <c r="M12" s="8">
        <f>MOD(INT(HEX2DEC(MID($C12,3,10))/64),2)</f>
        <v>0</v>
      </c>
      <c r="N12" s="8">
        <f>MOD(INT(HEX2DEC(MID($C12,3,10))/32),2)</f>
        <v>0</v>
      </c>
      <c r="O12" s="8">
        <f>MOD(INT(HEX2DEC(MID($C12,3,10))/16),2)</f>
        <v>1</v>
      </c>
      <c r="P12" s="8">
        <f>MOD(INT(HEX2DEC(MID($C12,3,10))/8),2)</f>
        <v>0</v>
      </c>
      <c r="Q12" s="9">
        <f>MOD(INT(HEX2DEC(MID($C12,3,10))/4),2)</f>
        <v>1</v>
      </c>
      <c r="R12" s="9">
        <f>MOD(INT(HEX2DEC(MID($C12,3,10))/2),2)</f>
        <v>0</v>
      </c>
      <c r="S12" s="9">
        <f>MOD(INT(HEX2DEC(MID($C12,3,10))/1),2)</f>
        <v>0</v>
      </c>
      <c r="T12" s="10" t="str">
        <f>"0x"&amp;DEC2HEX(INT(HEX2DEC(MID($C12,3,10))/128),3)</f>
        <v>0x000</v>
      </c>
      <c r="U12" s="10" t="str">
        <f>M12&amp;N12&amp;O12&amp;P12</f>
        <v>0010</v>
      </c>
      <c r="V12" s="10" t="str">
        <f>Q12&amp;R12&amp;S12</f>
        <v>100</v>
      </c>
      <c r="W12" s="10" t="s">
        <v>22</v>
      </c>
      <c r="X12" s="10" t="s">
        <v>16</v>
      </c>
      <c r="Y12" s="10" t="s">
        <v>16</v>
      </c>
      <c r="Z12" s="10" t="s">
        <v>32</v>
      </c>
      <c r="AA12" s="11" t="s">
        <v>23</v>
      </c>
    </row>
    <row r="13" spans="1:27" x14ac:dyDescent="0.25">
      <c r="A13" s="3"/>
      <c r="B13" s="12" t="s">
        <v>19</v>
      </c>
      <c r="C13" s="13" t="s">
        <v>39</v>
      </c>
      <c r="D13" s="14">
        <f>MOD(INT(HEX2DEC(MID($C13,3,10))/32768),2)</f>
        <v>0</v>
      </c>
      <c r="E13" s="15">
        <f>MOD(INT(HEX2DEC(MID($C13,3,10))/16384),2)</f>
        <v>0</v>
      </c>
      <c r="F13" s="15">
        <f>MOD(INT(HEX2DEC(MID($C13,3,10))/8192),2)</f>
        <v>1</v>
      </c>
      <c r="G13" s="15">
        <f>MOD(INT(HEX2DEC(MID($C13,3,10))/4096),2)</f>
        <v>0</v>
      </c>
      <c r="H13" s="15">
        <f>MOD(INT(HEX2DEC(MID($C13,3,10))/2048),2)</f>
        <v>0</v>
      </c>
      <c r="I13" s="15">
        <f>MOD(INT(HEX2DEC(MID($C13,3,10))/1024),2)</f>
        <v>0</v>
      </c>
      <c r="J13" s="15">
        <f>MOD(INT(HEX2DEC(MID($C13,3,10))/512),2)</f>
        <v>0</v>
      </c>
      <c r="K13" s="15">
        <f>MOD(INT(HEX2DEC(MID($C13,3,10))/256),2)</f>
        <v>0</v>
      </c>
      <c r="L13" s="15">
        <f>MOD(INT(HEX2DEC(MID($C13,3,10))/128),2)</f>
        <v>0</v>
      </c>
      <c r="M13" s="16">
        <f>MOD(INT(HEX2DEC(MID($C13,3,10))/64),2)</f>
        <v>0</v>
      </c>
      <c r="N13" s="16">
        <f>MOD(INT(HEX2DEC(MID($C13,3,10))/32),2)</f>
        <v>0</v>
      </c>
      <c r="O13" s="16">
        <f>MOD(INT(HEX2DEC(MID($C13,3,10))/16),2)</f>
        <v>0</v>
      </c>
      <c r="P13" s="16">
        <f>MOD(INT(HEX2DEC(MID($C13,3,10))/8),2)</f>
        <v>0</v>
      </c>
      <c r="Q13" s="17">
        <f>MOD(INT(HEX2DEC(MID($C13,3,10))/4),2)</f>
        <v>0</v>
      </c>
      <c r="R13" s="17">
        <f>MOD(INT(HEX2DEC(MID($C13,3,10))/2),2)</f>
        <v>0</v>
      </c>
      <c r="S13" s="17">
        <f>MOD(INT(HEX2DEC(MID($C13,3,10))/1),2)</f>
        <v>0</v>
      </c>
      <c r="T13" s="18" t="str">
        <f>"0x"&amp;DEC2HEX(INT(HEX2DEC(MID($C13,3,10))/128),3)</f>
        <v>0x040</v>
      </c>
      <c r="U13" s="18" t="str">
        <f>M13&amp;N13&amp;O13&amp;P13</f>
        <v>0000</v>
      </c>
      <c r="V13" s="18" t="str">
        <f>Q13&amp;R13&amp;S13</f>
        <v>000</v>
      </c>
      <c r="W13" s="18" t="s">
        <v>14</v>
      </c>
      <c r="X13" s="18" t="s">
        <v>35</v>
      </c>
      <c r="Y13" s="18" t="s">
        <v>15</v>
      </c>
      <c r="Z13" s="18" t="s">
        <v>17</v>
      </c>
      <c r="AA13" s="19" t="s">
        <v>40</v>
      </c>
    </row>
    <row r="14" spans="1:27" x14ac:dyDescent="0.25">
      <c r="A14" s="3" t="s">
        <v>41</v>
      </c>
      <c r="B14" s="4" t="s">
        <v>12</v>
      </c>
      <c r="C14" s="5" t="s">
        <v>42</v>
      </c>
      <c r="D14" s="6">
        <f>MOD(INT(HEX2DEC(MID($C14,3,10))/32768),2)</f>
        <v>0</v>
      </c>
      <c r="E14" s="7">
        <f>MOD(INT(HEX2DEC(MID($C14,3,10))/16384),2)</f>
        <v>0</v>
      </c>
      <c r="F14" s="7">
        <f>MOD(INT(HEX2DEC(MID($C14,3,10))/8192),2)</f>
        <v>0</v>
      </c>
      <c r="G14" s="7">
        <f>MOD(INT(HEX2DEC(MID($C14,3,10))/4096),2)</f>
        <v>0</v>
      </c>
      <c r="H14" s="7">
        <f>MOD(INT(HEX2DEC(MID($C14,3,10))/2048),2)</f>
        <v>0</v>
      </c>
      <c r="I14" s="7">
        <f>MOD(INT(HEX2DEC(MID($C14,3,10))/1024),2)</f>
        <v>0</v>
      </c>
      <c r="J14" s="7">
        <f>MOD(INT(HEX2DEC(MID($C14,3,10))/512),2)</f>
        <v>0</v>
      </c>
      <c r="K14" s="7">
        <f>MOD(INT(HEX2DEC(MID($C14,3,10))/256),2)</f>
        <v>0</v>
      </c>
      <c r="L14" s="7">
        <f>MOD(INT(HEX2DEC(MID($C14,3,10))/128),2)</f>
        <v>0</v>
      </c>
      <c r="M14" s="8">
        <f>MOD(INT(HEX2DEC(MID($C14,3,10))/64),2)</f>
        <v>0</v>
      </c>
      <c r="N14" s="8">
        <f>MOD(INT(HEX2DEC(MID($C14,3,10))/32),2)</f>
        <v>0</v>
      </c>
      <c r="O14" s="8">
        <f>MOD(INT(HEX2DEC(MID($C14,3,10))/16),2)</f>
        <v>1</v>
      </c>
      <c r="P14" s="8">
        <f>MOD(INT(HEX2DEC(MID($C14,3,10))/8),2)</f>
        <v>1</v>
      </c>
      <c r="Q14" s="9">
        <f>MOD(INT(HEX2DEC(MID($C14,3,10))/4),2)</f>
        <v>0</v>
      </c>
      <c r="R14" s="9">
        <f>MOD(INT(HEX2DEC(MID($C14,3,10))/2),2)</f>
        <v>0</v>
      </c>
      <c r="S14" s="9">
        <f>MOD(INT(HEX2DEC(MID($C14,3,10))/1),2)</f>
        <v>0</v>
      </c>
      <c r="T14" s="10" t="str">
        <f>"0x"&amp;DEC2HEX(INT(HEX2DEC(MID($C14,3,10))/128),3)</f>
        <v>0x000</v>
      </c>
      <c r="U14" s="10" t="str">
        <f>M14&amp;N14&amp;O14&amp;P14</f>
        <v>0011</v>
      </c>
      <c r="V14" s="10" t="str">
        <f>Q14&amp;R14&amp;S14</f>
        <v>000</v>
      </c>
      <c r="W14" s="10" t="s">
        <v>14</v>
      </c>
      <c r="X14" s="10" t="s">
        <v>15</v>
      </c>
      <c r="Y14" s="10" t="s">
        <v>16</v>
      </c>
      <c r="Z14" s="10" t="s">
        <v>43</v>
      </c>
      <c r="AA14" s="11" t="s">
        <v>44</v>
      </c>
    </row>
    <row r="15" spans="1:27" x14ac:dyDescent="0.25">
      <c r="A15" s="3"/>
      <c r="B15" s="12" t="s">
        <v>19</v>
      </c>
      <c r="C15" s="13"/>
      <c r="D15" s="14"/>
      <c r="E15" s="15"/>
      <c r="F15" s="15"/>
      <c r="G15" s="15"/>
      <c r="H15" s="15"/>
      <c r="I15" s="15"/>
      <c r="J15" s="15"/>
      <c r="K15" s="15"/>
      <c r="L15" s="15"/>
      <c r="M15" s="16"/>
      <c r="N15" s="16"/>
      <c r="O15" s="16"/>
      <c r="P15" s="16"/>
      <c r="Q15" s="17"/>
      <c r="R15" s="17"/>
      <c r="S15" s="17"/>
      <c r="T15" s="18"/>
      <c r="U15" s="18"/>
      <c r="V15" s="18"/>
      <c r="W15" s="18"/>
      <c r="X15" s="18"/>
      <c r="Y15" s="18"/>
      <c r="Z15" s="18"/>
      <c r="AA15" s="19"/>
    </row>
    <row r="16" spans="1:27" x14ac:dyDescent="0.25">
      <c r="A16" s="3" t="s">
        <v>45</v>
      </c>
      <c r="B16" s="4" t="s">
        <v>12</v>
      </c>
      <c r="C16" s="5" t="s">
        <v>46</v>
      </c>
      <c r="D16" s="6">
        <f>MOD(INT(HEX2DEC(MID($C16,3,10))/32768),2)</f>
        <v>0</v>
      </c>
      <c r="E16" s="7">
        <f>MOD(INT(HEX2DEC(MID($C16,3,10))/16384),2)</f>
        <v>0</v>
      </c>
      <c r="F16" s="7">
        <f>MOD(INT(HEX2DEC(MID($C16,3,10))/8192),2)</f>
        <v>0</v>
      </c>
      <c r="G16" s="7">
        <f>MOD(INT(HEX2DEC(MID($C16,3,10))/4096),2)</f>
        <v>0</v>
      </c>
      <c r="H16" s="7">
        <f>MOD(INT(HEX2DEC(MID($C16,3,10))/2048),2)</f>
        <v>0</v>
      </c>
      <c r="I16" s="7">
        <f>MOD(INT(HEX2DEC(MID($C16,3,10))/1024),2)</f>
        <v>0</v>
      </c>
      <c r="J16" s="7">
        <f>MOD(INT(HEX2DEC(MID($C16,3,10))/512),2)</f>
        <v>0</v>
      </c>
      <c r="K16" s="7">
        <f>MOD(INT(HEX2DEC(MID($C16,3,10))/256),2)</f>
        <v>0</v>
      </c>
      <c r="L16" s="7">
        <f>MOD(INT(HEX2DEC(MID($C16,3,10))/128),2)</f>
        <v>0</v>
      </c>
      <c r="M16" s="8">
        <f>MOD(INT(HEX2DEC(MID($C16,3,10))/64),2)</f>
        <v>0</v>
      </c>
      <c r="N16" s="8">
        <f>MOD(INT(HEX2DEC(MID($C16,3,10))/32),2)</f>
        <v>0</v>
      </c>
      <c r="O16" s="8">
        <f>MOD(INT(HEX2DEC(MID($C16,3,10))/16),2)</f>
        <v>1</v>
      </c>
      <c r="P16" s="8">
        <f>MOD(INT(HEX2DEC(MID($C16,3,10))/8),2)</f>
        <v>1</v>
      </c>
      <c r="Q16" s="9">
        <f>MOD(INT(HEX2DEC(MID($C16,3,10))/4),2)</f>
        <v>1</v>
      </c>
      <c r="R16" s="9">
        <f>MOD(INT(HEX2DEC(MID($C16,3,10))/2),2)</f>
        <v>0</v>
      </c>
      <c r="S16" s="9">
        <f>MOD(INT(HEX2DEC(MID($C16,3,10))/1),2)</f>
        <v>0</v>
      </c>
      <c r="T16" s="10" t="str">
        <f>"0x"&amp;DEC2HEX(INT(HEX2DEC(MID($C16,3,10))/128),3)</f>
        <v>0x000</v>
      </c>
      <c r="U16" s="10" t="str">
        <f>M16&amp;N16&amp;O16&amp;P16</f>
        <v>0011</v>
      </c>
      <c r="V16" s="10" t="str">
        <f>Q16&amp;R16&amp;S16</f>
        <v>100</v>
      </c>
      <c r="W16" s="10" t="s">
        <v>22</v>
      </c>
      <c r="X16" s="10" t="s">
        <v>16</v>
      </c>
      <c r="Y16" s="10" t="s">
        <v>16</v>
      </c>
      <c r="Z16" s="10" t="s">
        <v>43</v>
      </c>
      <c r="AA16" s="11" t="s">
        <v>23</v>
      </c>
    </row>
    <row r="17" spans="1:27" x14ac:dyDescent="0.25">
      <c r="A17" s="3"/>
      <c r="B17" s="12" t="s">
        <v>19</v>
      </c>
      <c r="C17" s="13" t="s">
        <v>47</v>
      </c>
      <c r="D17" s="14">
        <f>MOD(INT(HEX2DEC(MID($C17,3,10))/32768),2)</f>
        <v>0</v>
      </c>
      <c r="E17" s="15">
        <f>MOD(INT(HEX2DEC(MID($C17,3,10))/16384),2)</f>
        <v>0</v>
      </c>
      <c r="F17" s="15">
        <f>MOD(INT(HEX2DEC(MID($C17,3,10))/8192),2)</f>
        <v>1</v>
      </c>
      <c r="G17" s="15">
        <f>MOD(INT(HEX2DEC(MID($C17,3,10))/4096),2)</f>
        <v>0</v>
      </c>
      <c r="H17" s="15">
        <f>MOD(INT(HEX2DEC(MID($C17,3,10))/2048),2)</f>
        <v>0</v>
      </c>
      <c r="I17" s="15">
        <f>MOD(INT(HEX2DEC(MID($C17,3,10))/1024),2)</f>
        <v>0</v>
      </c>
      <c r="J17" s="15">
        <f>MOD(INT(HEX2DEC(MID($C17,3,10))/512),2)</f>
        <v>0</v>
      </c>
      <c r="K17" s="15">
        <f>MOD(INT(HEX2DEC(MID($C17,3,10))/256),2)</f>
        <v>0</v>
      </c>
      <c r="L17" s="15">
        <f>MOD(INT(HEX2DEC(MID($C17,3,10))/128),2)</f>
        <v>1</v>
      </c>
      <c r="M17" s="16">
        <f>MOD(INT(HEX2DEC(MID($C17,3,10))/64),2)</f>
        <v>0</v>
      </c>
      <c r="N17" s="16">
        <f>MOD(INT(HEX2DEC(MID($C17,3,10))/32),2)</f>
        <v>0</v>
      </c>
      <c r="O17" s="16">
        <f>MOD(INT(HEX2DEC(MID($C17,3,10))/16),2)</f>
        <v>0</v>
      </c>
      <c r="P17" s="16">
        <f>MOD(INT(HEX2DEC(MID($C17,3,10))/8),2)</f>
        <v>0</v>
      </c>
      <c r="Q17" s="17">
        <f>MOD(INT(HEX2DEC(MID($C17,3,10))/4),2)</f>
        <v>0</v>
      </c>
      <c r="R17" s="17">
        <f>MOD(INT(HEX2DEC(MID($C17,3,10))/2),2)</f>
        <v>0</v>
      </c>
      <c r="S17" s="17">
        <f>MOD(INT(HEX2DEC(MID($C17,3,10))/1),2)</f>
        <v>0</v>
      </c>
      <c r="T17" s="18" t="str">
        <f>"0x"&amp;DEC2HEX(INT(HEX2DEC(MID($C17,3,10))/128),3)</f>
        <v>0x041</v>
      </c>
      <c r="U17" s="18" t="str">
        <f>M17&amp;N17&amp;O17&amp;P17</f>
        <v>0000</v>
      </c>
      <c r="V17" s="18" t="str">
        <f>Q17&amp;R17&amp;S17</f>
        <v>000</v>
      </c>
      <c r="W17" s="18" t="s">
        <v>14</v>
      </c>
      <c r="X17" s="18" t="s">
        <v>35</v>
      </c>
      <c r="Y17" s="18" t="s">
        <v>15</v>
      </c>
      <c r="Z17" s="18" t="s">
        <v>17</v>
      </c>
      <c r="AA17" s="19" t="s">
        <v>48</v>
      </c>
    </row>
    <row r="18" spans="1:27" x14ac:dyDescent="0.25">
      <c r="A18" s="3" t="s">
        <v>49</v>
      </c>
      <c r="B18" s="4" t="s">
        <v>12</v>
      </c>
      <c r="C18" s="5" t="s">
        <v>50</v>
      </c>
      <c r="D18" s="6">
        <f>MOD(INT(HEX2DEC(MID($C18,3,10))/32768),2)</f>
        <v>0</v>
      </c>
      <c r="E18" s="7">
        <f>MOD(INT(HEX2DEC(MID($C18,3,10))/16384),2)</f>
        <v>0</v>
      </c>
      <c r="F18" s="7">
        <f>MOD(INT(HEX2DEC(MID($C18,3,10))/8192),2)</f>
        <v>0</v>
      </c>
      <c r="G18" s="7">
        <f>MOD(INT(HEX2DEC(MID($C18,3,10))/4096),2)</f>
        <v>0</v>
      </c>
      <c r="H18" s="7">
        <f>MOD(INT(HEX2DEC(MID($C18,3,10))/2048),2)</f>
        <v>0</v>
      </c>
      <c r="I18" s="7">
        <f>MOD(INT(HEX2DEC(MID($C18,3,10))/1024),2)</f>
        <v>0</v>
      </c>
      <c r="J18" s="7">
        <f>MOD(INT(HEX2DEC(MID($C18,3,10))/512),2)</f>
        <v>0</v>
      </c>
      <c r="K18" s="7">
        <f>MOD(INT(HEX2DEC(MID($C18,3,10))/256),2)</f>
        <v>0</v>
      </c>
      <c r="L18" s="7">
        <f>MOD(INT(HEX2DEC(MID($C18,3,10))/128),2)</f>
        <v>0</v>
      </c>
      <c r="M18" s="8">
        <f>MOD(INT(HEX2DEC(MID($C18,3,10))/64),2)</f>
        <v>0</v>
      </c>
      <c r="N18" s="8">
        <f>MOD(INT(HEX2DEC(MID($C18,3,10))/32),2)</f>
        <v>1</v>
      </c>
      <c r="O18" s="8">
        <f>MOD(INT(HEX2DEC(MID($C18,3,10))/16),2)</f>
        <v>0</v>
      </c>
      <c r="P18" s="8">
        <f>MOD(INT(HEX2DEC(MID($C18,3,10))/8),2)</f>
        <v>0</v>
      </c>
      <c r="Q18" s="9">
        <f>MOD(INT(HEX2DEC(MID($C18,3,10))/4),2)</f>
        <v>0</v>
      </c>
      <c r="R18" s="9">
        <f>MOD(INT(HEX2DEC(MID($C18,3,10))/2),2)</f>
        <v>0</v>
      </c>
      <c r="S18" s="9">
        <f>MOD(INT(HEX2DEC(MID($C18,3,10))/1),2)</f>
        <v>0</v>
      </c>
      <c r="T18" s="10" t="str">
        <f>"0x"&amp;DEC2HEX(INT(HEX2DEC(MID($C18,3,10))/128),3)</f>
        <v>0x000</v>
      </c>
      <c r="U18" s="10" t="str">
        <f>M18&amp;N18&amp;O18&amp;P18</f>
        <v>0100</v>
      </c>
      <c r="V18" s="10" t="str">
        <f>Q18&amp;R18&amp;S18</f>
        <v>000</v>
      </c>
      <c r="W18" s="10" t="s">
        <v>14</v>
      </c>
      <c r="X18" s="10" t="s">
        <v>15</v>
      </c>
      <c r="Y18" s="10" t="s">
        <v>16</v>
      </c>
      <c r="Z18" s="10" t="s">
        <v>51</v>
      </c>
      <c r="AA18" s="11" t="s">
        <v>52</v>
      </c>
    </row>
    <row r="19" spans="1:27" x14ac:dyDescent="0.25">
      <c r="A19" s="3"/>
      <c r="B19" s="12" t="s">
        <v>19</v>
      </c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6"/>
      <c r="N19" s="16"/>
      <c r="O19" s="16"/>
      <c r="P19" s="16"/>
      <c r="Q19" s="17"/>
      <c r="R19" s="17"/>
      <c r="S19" s="17"/>
      <c r="T19" s="18"/>
      <c r="U19" s="18"/>
      <c r="V19" s="18"/>
      <c r="W19" s="18"/>
      <c r="X19" s="18"/>
      <c r="Y19" s="18"/>
      <c r="Z19" s="18"/>
      <c r="AA19" s="19"/>
    </row>
    <row r="20" spans="1:27" x14ac:dyDescent="0.25">
      <c r="A20" s="3" t="s">
        <v>53</v>
      </c>
      <c r="B20" s="4" t="s">
        <v>12</v>
      </c>
      <c r="C20" s="5" t="s">
        <v>54</v>
      </c>
      <c r="D20" s="6">
        <f>MOD(INT(HEX2DEC(MID($C20,3,10))/32768),2)</f>
        <v>0</v>
      </c>
      <c r="E20" s="7">
        <f>MOD(INT(HEX2DEC(MID($C20,3,10))/16384),2)</f>
        <v>0</v>
      </c>
      <c r="F20" s="7">
        <f>MOD(INT(HEX2DEC(MID($C20,3,10))/8192),2)</f>
        <v>0</v>
      </c>
      <c r="G20" s="7">
        <f>MOD(INT(HEX2DEC(MID($C20,3,10))/4096),2)</f>
        <v>0</v>
      </c>
      <c r="H20" s="7">
        <f>MOD(INT(HEX2DEC(MID($C20,3,10))/2048),2)</f>
        <v>0</v>
      </c>
      <c r="I20" s="7">
        <f>MOD(INT(HEX2DEC(MID($C20,3,10))/1024),2)</f>
        <v>0</v>
      </c>
      <c r="J20" s="7">
        <f>MOD(INT(HEX2DEC(MID($C20,3,10))/512),2)</f>
        <v>0</v>
      </c>
      <c r="K20" s="7">
        <f>MOD(INT(HEX2DEC(MID($C20,3,10))/256),2)</f>
        <v>0</v>
      </c>
      <c r="L20" s="7">
        <f>MOD(INT(HEX2DEC(MID($C20,3,10))/128),2)</f>
        <v>0</v>
      </c>
      <c r="M20" s="8">
        <f>MOD(INT(HEX2DEC(MID($C20,3,10))/64),2)</f>
        <v>0</v>
      </c>
      <c r="N20" s="8">
        <f>MOD(INT(HEX2DEC(MID($C20,3,10))/32),2)</f>
        <v>1</v>
      </c>
      <c r="O20" s="8">
        <f>MOD(INT(HEX2DEC(MID($C20,3,10))/16),2)</f>
        <v>0</v>
      </c>
      <c r="P20" s="8">
        <f>MOD(INT(HEX2DEC(MID($C20,3,10))/8),2)</f>
        <v>0</v>
      </c>
      <c r="Q20" s="9">
        <f>MOD(INT(HEX2DEC(MID($C20,3,10))/4),2)</f>
        <v>1</v>
      </c>
      <c r="R20" s="9">
        <f>MOD(INT(HEX2DEC(MID($C20,3,10))/2),2)</f>
        <v>0</v>
      </c>
      <c r="S20" s="9">
        <f>MOD(INT(HEX2DEC(MID($C20,3,10))/1),2)</f>
        <v>0</v>
      </c>
      <c r="T20" s="10" t="str">
        <f>"0x"&amp;DEC2HEX(INT(HEX2DEC(MID($C20,3,10))/128),3)</f>
        <v>0x000</v>
      </c>
      <c r="U20" s="10" t="str">
        <f>M20&amp;N20&amp;O20&amp;P20</f>
        <v>0100</v>
      </c>
      <c r="V20" s="10" t="str">
        <f>Q20&amp;R20&amp;S20</f>
        <v>100</v>
      </c>
      <c r="W20" s="10" t="s">
        <v>22</v>
      </c>
      <c r="X20" s="10" t="s">
        <v>16</v>
      </c>
      <c r="Y20" s="10" t="s">
        <v>16</v>
      </c>
      <c r="Z20" s="10" t="s">
        <v>51</v>
      </c>
      <c r="AA20" s="11" t="s">
        <v>23</v>
      </c>
    </row>
    <row r="21" spans="1:27" x14ac:dyDescent="0.25">
      <c r="A21" s="3"/>
      <c r="B21" s="12" t="s">
        <v>19</v>
      </c>
      <c r="C21" s="13"/>
      <c r="D21" s="14"/>
      <c r="E21" s="15"/>
      <c r="F21" s="15"/>
      <c r="G21" s="15"/>
      <c r="H21" s="15"/>
      <c r="I21" s="15"/>
      <c r="J21" s="15"/>
      <c r="K21" s="15"/>
      <c r="L21" s="15"/>
      <c r="M21" s="16"/>
      <c r="N21" s="16"/>
      <c r="O21" s="16"/>
      <c r="P21" s="16"/>
      <c r="Q21" s="17"/>
      <c r="R21" s="17"/>
      <c r="S21" s="17"/>
      <c r="T21" s="18"/>
      <c r="U21" s="18"/>
      <c r="V21" s="18"/>
      <c r="W21" s="18"/>
      <c r="X21" s="18"/>
      <c r="Y21" s="18"/>
      <c r="Z21" s="18"/>
      <c r="AA21" s="19"/>
    </row>
    <row r="22" spans="1:27" x14ac:dyDescent="0.25">
      <c r="A22" s="3" t="s">
        <v>55</v>
      </c>
      <c r="B22" s="4" t="s">
        <v>12</v>
      </c>
      <c r="C22" s="5" t="s">
        <v>56</v>
      </c>
      <c r="D22" s="6">
        <f>MOD(INT(HEX2DEC(MID($C22,3,10))/32768),2)</f>
        <v>0</v>
      </c>
      <c r="E22" s="7">
        <f>MOD(INT(HEX2DEC(MID($C22,3,10))/16384),2)</f>
        <v>0</v>
      </c>
      <c r="F22" s="7">
        <f>MOD(INT(HEX2DEC(MID($C22,3,10))/8192),2)</f>
        <v>0</v>
      </c>
      <c r="G22" s="7">
        <f>MOD(INT(HEX2DEC(MID($C22,3,10))/4096),2)</f>
        <v>0</v>
      </c>
      <c r="H22" s="7">
        <f>MOD(INT(HEX2DEC(MID($C22,3,10))/2048),2)</f>
        <v>0</v>
      </c>
      <c r="I22" s="7">
        <f>MOD(INT(HEX2DEC(MID($C22,3,10))/1024),2)</f>
        <v>0</v>
      </c>
      <c r="J22" s="7">
        <f>MOD(INT(HEX2DEC(MID($C22,3,10))/512),2)</f>
        <v>0</v>
      </c>
      <c r="K22" s="7">
        <f>MOD(INT(HEX2DEC(MID($C22,3,10))/256),2)</f>
        <v>0</v>
      </c>
      <c r="L22" s="7">
        <f>MOD(INT(HEX2DEC(MID($C22,3,10))/128),2)</f>
        <v>0</v>
      </c>
      <c r="M22" s="8">
        <f>MOD(INT(HEX2DEC(MID($C22,3,10))/64),2)</f>
        <v>0</v>
      </c>
      <c r="N22" s="8">
        <f>MOD(INT(HEX2DEC(MID($C22,3,10))/32),2)</f>
        <v>1</v>
      </c>
      <c r="O22" s="8">
        <f>MOD(INT(HEX2DEC(MID($C22,3,10))/16),2)</f>
        <v>0</v>
      </c>
      <c r="P22" s="8">
        <f>MOD(INT(HEX2DEC(MID($C22,3,10))/8),2)</f>
        <v>1</v>
      </c>
      <c r="Q22" s="9">
        <f>MOD(INT(HEX2DEC(MID($C22,3,10))/4),2)</f>
        <v>0</v>
      </c>
      <c r="R22" s="9">
        <f>MOD(INT(HEX2DEC(MID($C22,3,10))/2),2)</f>
        <v>0</v>
      </c>
      <c r="S22" s="9">
        <f>MOD(INT(HEX2DEC(MID($C22,3,10))/1),2)</f>
        <v>0</v>
      </c>
      <c r="T22" s="10" t="str">
        <f>"0x"&amp;DEC2HEX(INT(HEX2DEC(MID($C22,3,10))/128),3)</f>
        <v>0x000</v>
      </c>
      <c r="U22" s="10" t="str">
        <f>M22&amp;N22&amp;O22&amp;P22</f>
        <v>0101</v>
      </c>
      <c r="V22" s="10" t="str">
        <f>Q22&amp;R22&amp;S22</f>
        <v>000</v>
      </c>
      <c r="W22" s="10" t="s">
        <v>14</v>
      </c>
      <c r="X22" s="10" t="s">
        <v>15</v>
      </c>
      <c r="Y22" s="10" t="s">
        <v>16</v>
      </c>
      <c r="Z22" s="10" t="s">
        <v>57</v>
      </c>
      <c r="AA22" s="11" t="s">
        <v>58</v>
      </c>
    </row>
    <row r="23" spans="1:27" x14ac:dyDescent="0.25">
      <c r="A23" s="3"/>
      <c r="B23" s="12" t="s">
        <v>19</v>
      </c>
      <c r="C23" s="13"/>
      <c r="D23" s="14"/>
      <c r="E23" s="15"/>
      <c r="F23" s="15"/>
      <c r="G23" s="15"/>
      <c r="H23" s="15"/>
      <c r="I23" s="15"/>
      <c r="J23" s="15"/>
      <c r="K23" s="15"/>
      <c r="L23" s="15"/>
      <c r="M23" s="16"/>
      <c r="N23" s="16"/>
      <c r="O23" s="16"/>
      <c r="P23" s="16"/>
      <c r="Q23" s="17"/>
      <c r="R23" s="17"/>
      <c r="S23" s="17"/>
      <c r="T23" s="18"/>
      <c r="U23" s="18"/>
      <c r="V23" s="18"/>
      <c r="W23" s="18"/>
      <c r="X23" s="18"/>
      <c r="Y23" s="18"/>
      <c r="Z23" s="18"/>
      <c r="AA23" s="19"/>
    </row>
    <row r="24" spans="1:27" x14ac:dyDescent="0.25">
      <c r="A24" s="3" t="s">
        <v>59</v>
      </c>
      <c r="B24" s="4" t="s">
        <v>12</v>
      </c>
      <c r="C24" s="5" t="s">
        <v>60</v>
      </c>
      <c r="D24" s="6">
        <f>MOD(INT(HEX2DEC(MID($C24,3,10))/32768),2)</f>
        <v>0</v>
      </c>
      <c r="E24" s="7">
        <f>MOD(INT(HEX2DEC(MID($C24,3,10))/16384),2)</f>
        <v>0</v>
      </c>
      <c r="F24" s="7">
        <f>MOD(INT(HEX2DEC(MID($C24,3,10))/8192),2)</f>
        <v>0</v>
      </c>
      <c r="G24" s="7">
        <f>MOD(INT(HEX2DEC(MID($C24,3,10))/4096),2)</f>
        <v>0</v>
      </c>
      <c r="H24" s="7">
        <f>MOD(INT(HEX2DEC(MID($C24,3,10))/2048),2)</f>
        <v>0</v>
      </c>
      <c r="I24" s="7">
        <f>MOD(INT(HEX2DEC(MID($C24,3,10))/1024),2)</f>
        <v>0</v>
      </c>
      <c r="J24" s="7">
        <f>MOD(INT(HEX2DEC(MID($C24,3,10))/512),2)</f>
        <v>0</v>
      </c>
      <c r="K24" s="7">
        <f>MOD(INT(HEX2DEC(MID($C24,3,10))/256),2)</f>
        <v>0</v>
      </c>
      <c r="L24" s="7">
        <f>MOD(INT(HEX2DEC(MID($C24,3,10))/128),2)</f>
        <v>0</v>
      </c>
      <c r="M24" s="8">
        <f>MOD(INT(HEX2DEC(MID($C24,3,10))/64),2)</f>
        <v>0</v>
      </c>
      <c r="N24" s="8">
        <f>MOD(INT(HEX2DEC(MID($C24,3,10))/32),2)</f>
        <v>1</v>
      </c>
      <c r="O24" s="8">
        <f>MOD(INT(HEX2DEC(MID($C24,3,10))/16),2)</f>
        <v>0</v>
      </c>
      <c r="P24" s="8">
        <f>MOD(INT(HEX2DEC(MID($C24,3,10))/8),2)</f>
        <v>1</v>
      </c>
      <c r="Q24" s="9">
        <f>MOD(INT(HEX2DEC(MID($C24,3,10))/4),2)</f>
        <v>1</v>
      </c>
      <c r="R24" s="9">
        <f>MOD(INT(HEX2DEC(MID($C24,3,10))/2),2)</f>
        <v>0</v>
      </c>
      <c r="S24" s="9">
        <f>MOD(INT(HEX2DEC(MID($C24,3,10))/1),2)</f>
        <v>0</v>
      </c>
      <c r="T24" s="10" t="str">
        <f>"0x"&amp;DEC2HEX(INT(HEX2DEC(MID($C24,3,10))/128),3)</f>
        <v>0x000</v>
      </c>
      <c r="U24" s="10" t="str">
        <f>M24&amp;N24&amp;O24&amp;P24</f>
        <v>0101</v>
      </c>
      <c r="V24" s="10" t="str">
        <f>Q24&amp;R24&amp;S24</f>
        <v>100</v>
      </c>
      <c r="W24" s="10" t="s">
        <v>22</v>
      </c>
      <c r="X24" s="10" t="s">
        <v>16</v>
      </c>
      <c r="Y24" s="10" t="s">
        <v>16</v>
      </c>
      <c r="Z24" s="10" t="s">
        <v>57</v>
      </c>
      <c r="AA24" s="11" t="s">
        <v>23</v>
      </c>
    </row>
    <row r="25" spans="1:27" x14ac:dyDescent="0.25">
      <c r="A25" s="3"/>
      <c r="B25" s="12" t="s">
        <v>19</v>
      </c>
      <c r="C25" s="13"/>
      <c r="D25" s="14"/>
      <c r="E25" s="15"/>
      <c r="F25" s="15"/>
      <c r="G25" s="15"/>
      <c r="H25" s="15"/>
      <c r="I25" s="15"/>
      <c r="J25" s="15"/>
      <c r="K25" s="15"/>
      <c r="L25" s="15"/>
      <c r="M25" s="16"/>
      <c r="N25" s="16"/>
      <c r="O25" s="16"/>
      <c r="P25" s="16"/>
      <c r="Q25" s="17"/>
      <c r="R25" s="17"/>
      <c r="S25" s="17"/>
      <c r="T25" s="18"/>
      <c r="U25" s="18"/>
      <c r="V25" s="18"/>
      <c r="W25" s="18"/>
      <c r="X25" s="18"/>
      <c r="Y25" s="18"/>
      <c r="Z25" s="18"/>
      <c r="AA25" s="19"/>
    </row>
    <row r="26" spans="1:27" x14ac:dyDescent="0.25">
      <c r="A26" s="3" t="s">
        <v>61</v>
      </c>
      <c r="B26" s="4" t="s">
        <v>12</v>
      </c>
      <c r="C26" s="5" t="s">
        <v>62</v>
      </c>
      <c r="D26" s="6">
        <f>MOD(INT(HEX2DEC(MID($C26,3,10))/32768),2)</f>
        <v>0</v>
      </c>
      <c r="E26" s="7">
        <f>MOD(INT(HEX2DEC(MID($C26,3,10))/16384),2)</f>
        <v>0</v>
      </c>
      <c r="F26" s="7">
        <f>MOD(INT(HEX2DEC(MID($C26,3,10))/8192),2)</f>
        <v>0</v>
      </c>
      <c r="G26" s="7">
        <f>MOD(INT(HEX2DEC(MID($C26,3,10))/4096),2)</f>
        <v>0</v>
      </c>
      <c r="H26" s="7">
        <f>MOD(INT(HEX2DEC(MID($C26,3,10))/2048),2)</f>
        <v>0</v>
      </c>
      <c r="I26" s="7">
        <f>MOD(INT(HEX2DEC(MID($C26,3,10))/1024),2)</f>
        <v>0</v>
      </c>
      <c r="J26" s="7">
        <f>MOD(INT(HEX2DEC(MID($C26,3,10))/512),2)</f>
        <v>0</v>
      </c>
      <c r="K26" s="7">
        <f>MOD(INT(HEX2DEC(MID($C26,3,10))/256),2)</f>
        <v>0</v>
      </c>
      <c r="L26" s="7">
        <f>MOD(INT(HEX2DEC(MID($C26,3,10))/128),2)</f>
        <v>0</v>
      </c>
      <c r="M26" s="8">
        <f>MOD(INT(HEX2DEC(MID($C26,3,10))/64),2)</f>
        <v>0</v>
      </c>
      <c r="N26" s="8">
        <f>MOD(INT(HEX2DEC(MID($C26,3,10))/32),2)</f>
        <v>1</v>
      </c>
      <c r="O26" s="8">
        <f>MOD(INT(HEX2DEC(MID($C26,3,10))/16),2)</f>
        <v>1</v>
      </c>
      <c r="P26" s="8">
        <f>MOD(INT(HEX2DEC(MID($C26,3,10))/8),2)</f>
        <v>0</v>
      </c>
      <c r="Q26" s="9">
        <f>MOD(INT(HEX2DEC(MID($C26,3,10))/4),2)</f>
        <v>0</v>
      </c>
      <c r="R26" s="9">
        <f>MOD(INT(HEX2DEC(MID($C26,3,10))/2),2)</f>
        <v>0</v>
      </c>
      <c r="S26" s="9">
        <f>MOD(INT(HEX2DEC(MID($C26,3,10))/1),2)</f>
        <v>0</v>
      </c>
      <c r="T26" s="10" t="str">
        <f>"0x"&amp;DEC2HEX(INT(HEX2DEC(MID($C26,3,10))/128),3)</f>
        <v>0x000</v>
      </c>
      <c r="U26" s="10" t="str">
        <f>M26&amp;N26&amp;O26&amp;P26</f>
        <v>0110</v>
      </c>
      <c r="V26" s="10" t="str">
        <f>Q26&amp;R26&amp;S26</f>
        <v>000</v>
      </c>
      <c r="W26" s="10" t="s">
        <v>14</v>
      </c>
      <c r="X26" s="10" t="s">
        <v>15</v>
      </c>
      <c r="Y26" s="10" t="s">
        <v>16</v>
      </c>
      <c r="Z26" s="10" t="s">
        <v>63</v>
      </c>
      <c r="AA26" s="11" t="s">
        <v>64</v>
      </c>
    </row>
    <row r="27" spans="1:27" x14ac:dyDescent="0.25">
      <c r="A27" s="3"/>
      <c r="B27" s="12" t="s">
        <v>19</v>
      </c>
      <c r="C27" s="13"/>
      <c r="D27" s="14"/>
      <c r="E27" s="15"/>
      <c r="F27" s="15"/>
      <c r="G27" s="15"/>
      <c r="H27" s="15"/>
      <c r="I27" s="15"/>
      <c r="J27" s="15"/>
      <c r="K27" s="15"/>
      <c r="L27" s="15"/>
      <c r="M27" s="16"/>
      <c r="N27" s="16"/>
      <c r="O27" s="16"/>
      <c r="P27" s="16"/>
      <c r="Q27" s="17"/>
      <c r="R27" s="17"/>
      <c r="S27" s="17"/>
      <c r="T27" s="18"/>
      <c r="U27" s="18"/>
      <c r="V27" s="18"/>
      <c r="W27" s="18"/>
      <c r="X27" s="18"/>
      <c r="Y27" s="18"/>
      <c r="Z27" s="18"/>
      <c r="AA27" s="19"/>
    </row>
    <row r="28" spans="1:27" x14ac:dyDescent="0.25">
      <c r="A28" s="3" t="s">
        <v>30</v>
      </c>
      <c r="B28" s="4" t="s">
        <v>12</v>
      </c>
      <c r="C28" s="5" t="s">
        <v>31</v>
      </c>
      <c r="D28" s="6">
        <f>MOD(INT(HEX2DEC(MID($C28,3,10))/32768),2)</f>
        <v>0</v>
      </c>
      <c r="E28" s="7">
        <f>MOD(INT(HEX2DEC(MID($C28,3,10))/16384),2)</f>
        <v>0</v>
      </c>
      <c r="F28" s="7">
        <f>MOD(INT(HEX2DEC(MID($C28,3,10))/8192),2)</f>
        <v>0</v>
      </c>
      <c r="G28" s="7">
        <f>MOD(INT(HEX2DEC(MID($C28,3,10))/4096),2)</f>
        <v>0</v>
      </c>
      <c r="H28" s="7">
        <f>MOD(INT(HEX2DEC(MID($C28,3,10))/2048),2)</f>
        <v>0</v>
      </c>
      <c r="I28" s="7">
        <f>MOD(INT(HEX2DEC(MID($C28,3,10))/1024),2)</f>
        <v>0</v>
      </c>
      <c r="J28" s="7">
        <f>MOD(INT(HEX2DEC(MID($C28,3,10))/512),2)</f>
        <v>0</v>
      </c>
      <c r="K28" s="7">
        <f>MOD(INT(HEX2DEC(MID($C28,3,10))/256),2)</f>
        <v>0</v>
      </c>
      <c r="L28" s="7">
        <f>MOD(INT(HEX2DEC(MID($C28,3,10))/128),2)</f>
        <v>0</v>
      </c>
      <c r="M28" s="8">
        <f>MOD(INT(HEX2DEC(MID($C28,3,10))/64),2)</f>
        <v>0</v>
      </c>
      <c r="N28" s="8">
        <f>MOD(INT(HEX2DEC(MID($C28,3,10))/32),2)</f>
        <v>0</v>
      </c>
      <c r="O28" s="8">
        <f>MOD(INT(HEX2DEC(MID($C28,3,10))/16),2)</f>
        <v>1</v>
      </c>
      <c r="P28" s="8">
        <f>MOD(INT(HEX2DEC(MID($C28,3,10))/8),2)</f>
        <v>0</v>
      </c>
      <c r="Q28" s="9">
        <f>MOD(INT(HEX2DEC(MID($C28,3,10))/4),2)</f>
        <v>0</v>
      </c>
      <c r="R28" s="9">
        <f>MOD(INT(HEX2DEC(MID($C28,3,10))/2),2)</f>
        <v>0</v>
      </c>
      <c r="S28" s="9">
        <f>MOD(INT(HEX2DEC(MID($C28,3,10))/1),2)</f>
        <v>0</v>
      </c>
      <c r="T28" s="10" t="str">
        <f>"0x"&amp;DEC2HEX(INT(HEX2DEC(MID($C28,3,10))/128),3)</f>
        <v>0x000</v>
      </c>
      <c r="U28" s="10" t="str">
        <f>M28&amp;N28&amp;O28&amp;P28</f>
        <v>0010</v>
      </c>
      <c r="V28" s="10" t="str">
        <f>Q28&amp;R28&amp;S28</f>
        <v>000</v>
      </c>
      <c r="W28" s="10" t="s">
        <v>22</v>
      </c>
      <c r="X28" s="10" t="s">
        <v>16</v>
      </c>
      <c r="Y28" s="10" t="s">
        <v>16</v>
      </c>
      <c r="Z28" s="10" t="s">
        <v>32</v>
      </c>
      <c r="AA28" s="11" t="s">
        <v>23</v>
      </c>
    </row>
    <row r="29" spans="1:27" x14ac:dyDescent="0.25">
      <c r="A29" s="3"/>
      <c r="B29" s="12" t="s">
        <v>19</v>
      </c>
      <c r="C29" s="13" t="s">
        <v>65</v>
      </c>
      <c r="D29" s="14">
        <f>MOD(INT(HEX2DEC(MID($C29,3,10))/32768),2)</f>
        <v>0</v>
      </c>
      <c r="E29" s="15">
        <f>MOD(INT(HEX2DEC(MID($C29,3,10))/16384),2)</f>
        <v>0</v>
      </c>
      <c r="F29" s="15">
        <f>MOD(INT(HEX2DEC(MID($C29,3,10))/8192),2)</f>
        <v>0</v>
      </c>
      <c r="G29" s="15">
        <f>MOD(INT(HEX2DEC(MID($C29,3,10))/4096),2)</f>
        <v>1</v>
      </c>
      <c r="H29" s="15">
        <f>MOD(INT(HEX2DEC(MID($C29,3,10))/2048),2)</f>
        <v>0</v>
      </c>
      <c r="I29" s="15">
        <f>MOD(INT(HEX2DEC(MID($C29,3,10))/1024),2)</f>
        <v>0</v>
      </c>
      <c r="J29" s="15">
        <f>MOD(INT(HEX2DEC(MID($C29,3,10))/512),2)</f>
        <v>0</v>
      </c>
      <c r="K29" s="15">
        <f>MOD(INT(HEX2DEC(MID($C29,3,10))/256),2)</f>
        <v>0</v>
      </c>
      <c r="L29" s="15">
        <f>MOD(INT(HEX2DEC(MID($C29,3,10))/128),2)</f>
        <v>0</v>
      </c>
      <c r="M29" s="16">
        <f>MOD(INT(HEX2DEC(MID($C29,3,10))/64),2)</f>
        <v>0</v>
      </c>
      <c r="N29" s="16">
        <f>MOD(INT(HEX2DEC(MID($C29,3,10))/32),2)</f>
        <v>0</v>
      </c>
      <c r="O29" s="16">
        <f>MOD(INT(HEX2DEC(MID($C29,3,10))/16),2)</f>
        <v>0</v>
      </c>
      <c r="P29" s="16">
        <f>MOD(INT(HEX2DEC(MID($C29,3,10))/8),2)</f>
        <v>0</v>
      </c>
      <c r="Q29" s="17">
        <f>MOD(INT(HEX2DEC(MID($C29,3,10))/4),2)</f>
        <v>1</v>
      </c>
      <c r="R29" s="17">
        <f>MOD(INT(HEX2DEC(MID($C29,3,10))/2),2)</f>
        <v>0</v>
      </c>
      <c r="S29" s="17">
        <f>MOD(INT(HEX2DEC(MID($C29,3,10))/1),2)</f>
        <v>0</v>
      </c>
      <c r="T29" s="18" t="str">
        <f>"0x"&amp;DEC2HEX(INT(HEX2DEC(MID($C29,3,10))/128),3)</f>
        <v>0x020</v>
      </c>
      <c r="U29" s="18" t="str">
        <f>M29&amp;N29&amp;O29&amp;P29</f>
        <v>0000</v>
      </c>
      <c r="V29" s="18" t="str">
        <f>Q29&amp;R29&amp;S29</f>
        <v>100</v>
      </c>
      <c r="W29" s="18" t="s">
        <v>14</v>
      </c>
      <c r="X29" s="18" t="s">
        <v>35</v>
      </c>
      <c r="Y29" s="18" t="s">
        <v>66</v>
      </c>
      <c r="Z29" s="18" t="s">
        <v>17</v>
      </c>
      <c r="AA29" s="19" t="s">
        <v>67</v>
      </c>
    </row>
    <row r="30" spans="1:27" x14ac:dyDescent="0.25">
      <c r="A30" s="3" t="s">
        <v>37</v>
      </c>
      <c r="B30" s="4" t="s">
        <v>12</v>
      </c>
      <c r="C30" s="5" t="s">
        <v>38</v>
      </c>
      <c r="D30" s="6">
        <f>MOD(INT(HEX2DEC(MID($C30,3,10))/32768),2)</f>
        <v>0</v>
      </c>
      <c r="E30" s="7">
        <f>MOD(INT(HEX2DEC(MID($C30,3,10))/16384),2)</f>
        <v>0</v>
      </c>
      <c r="F30" s="7">
        <f>MOD(INT(HEX2DEC(MID($C30,3,10))/8192),2)</f>
        <v>0</v>
      </c>
      <c r="G30" s="7">
        <f>MOD(INT(HEX2DEC(MID($C30,3,10))/4096),2)</f>
        <v>0</v>
      </c>
      <c r="H30" s="7">
        <f>MOD(INT(HEX2DEC(MID($C30,3,10))/2048),2)</f>
        <v>0</v>
      </c>
      <c r="I30" s="7">
        <f>MOD(INT(HEX2DEC(MID($C30,3,10))/1024),2)</f>
        <v>0</v>
      </c>
      <c r="J30" s="7">
        <f>MOD(INT(HEX2DEC(MID($C30,3,10))/512),2)</f>
        <v>0</v>
      </c>
      <c r="K30" s="7">
        <f>MOD(INT(HEX2DEC(MID($C30,3,10))/256),2)</f>
        <v>0</v>
      </c>
      <c r="L30" s="7">
        <f>MOD(INT(HEX2DEC(MID($C30,3,10))/128),2)</f>
        <v>0</v>
      </c>
      <c r="M30" s="8">
        <f>MOD(INT(HEX2DEC(MID($C30,3,10))/64),2)</f>
        <v>0</v>
      </c>
      <c r="N30" s="8">
        <f>MOD(INT(HEX2DEC(MID($C30,3,10))/32),2)</f>
        <v>0</v>
      </c>
      <c r="O30" s="8">
        <f>MOD(INT(HEX2DEC(MID($C30,3,10))/16),2)</f>
        <v>1</v>
      </c>
      <c r="P30" s="8">
        <f>MOD(INT(HEX2DEC(MID($C30,3,10))/8),2)</f>
        <v>0</v>
      </c>
      <c r="Q30" s="9">
        <f>MOD(INT(HEX2DEC(MID($C30,3,10))/4),2)</f>
        <v>1</v>
      </c>
      <c r="R30" s="9">
        <f>MOD(INT(HEX2DEC(MID($C30,3,10))/2),2)</f>
        <v>0</v>
      </c>
      <c r="S30" s="9">
        <f>MOD(INT(HEX2DEC(MID($C30,3,10))/1),2)</f>
        <v>0</v>
      </c>
      <c r="T30" s="10" t="str">
        <f>"0x"&amp;DEC2HEX(INT(HEX2DEC(MID($C30,3,10))/128),3)</f>
        <v>0x000</v>
      </c>
      <c r="U30" s="10" t="str">
        <f>M30&amp;N30&amp;O30&amp;P30</f>
        <v>0010</v>
      </c>
      <c r="V30" s="10" t="str">
        <f>Q30&amp;R30&amp;S30</f>
        <v>100</v>
      </c>
      <c r="W30" s="10" t="s">
        <v>22</v>
      </c>
      <c r="X30" s="10" t="s">
        <v>16</v>
      </c>
      <c r="Y30" s="10" t="s">
        <v>16</v>
      </c>
      <c r="Z30" s="10" t="s">
        <v>32</v>
      </c>
      <c r="AA30" s="11" t="s">
        <v>23</v>
      </c>
    </row>
    <row r="31" spans="1:27" x14ac:dyDescent="0.25">
      <c r="A31" s="3"/>
      <c r="B31" s="12" t="s">
        <v>19</v>
      </c>
      <c r="C31" s="13" t="s">
        <v>68</v>
      </c>
      <c r="D31" s="14">
        <f>MOD(INT(HEX2DEC(MID($C31,3,10))/32768),2)</f>
        <v>0</v>
      </c>
      <c r="E31" s="15">
        <f>MOD(INT(HEX2DEC(MID($C31,3,10))/16384),2)</f>
        <v>0</v>
      </c>
      <c r="F31" s="15">
        <f>MOD(INT(HEX2DEC(MID($C31,3,10))/8192),2)</f>
        <v>1</v>
      </c>
      <c r="G31" s="15">
        <f>MOD(INT(HEX2DEC(MID($C31,3,10))/4096),2)</f>
        <v>0</v>
      </c>
      <c r="H31" s="15">
        <f>MOD(INT(HEX2DEC(MID($C31,3,10))/2048),2)</f>
        <v>0</v>
      </c>
      <c r="I31" s="15">
        <f>MOD(INT(HEX2DEC(MID($C31,3,10))/1024),2)</f>
        <v>0</v>
      </c>
      <c r="J31" s="15">
        <f>MOD(INT(HEX2DEC(MID($C31,3,10))/512),2)</f>
        <v>0</v>
      </c>
      <c r="K31" s="15">
        <f>MOD(INT(HEX2DEC(MID($C31,3,10))/256),2)</f>
        <v>0</v>
      </c>
      <c r="L31" s="15">
        <f>MOD(INT(HEX2DEC(MID($C31,3,10))/128),2)</f>
        <v>0</v>
      </c>
      <c r="M31" s="16">
        <f>MOD(INT(HEX2DEC(MID($C31,3,10))/64),2)</f>
        <v>0</v>
      </c>
      <c r="N31" s="16">
        <f>MOD(INT(HEX2DEC(MID($C31,3,10))/32),2)</f>
        <v>0</v>
      </c>
      <c r="O31" s="16">
        <f>MOD(INT(HEX2DEC(MID($C31,3,10))/16),2)</f>
        <v>0</v>
      </c>
      <c r="P31" s="16">
        <f>MOD(INT(HEX2DEC(MID($C31,3,10))/8),2)</f>
        <v>0</v>
      </c>
      <c r="Q31" s="17">
        <f>MOD(INT(HEX2DEC(MID($C31,3,10))/4),2)</f>
        <v>1</v>
      </c>
      <c r="R31" s="17">
        <f>MOD(INT(HEX2DEC(MID($C31,3,10))/2),2)</f>
        <v>0</v>
      </c>
      <c r="S31" s="17">
        <f>MOD(INT(HEX2DEC(MID($C31,3,10))/1),2)</f>
        <v>0</v>
      </c>
      <c r="T31" s="18" t="str">
        <f>"0x"&amp;DEC2HEX(INT(HEX2DEC(MID($C31,3,10))/128),3)</f>
        <v>0x040</v>
      </c>
      <c r="U31" s="18" t="str">
        <f>M31&amp;N31&amp;O31&amp;P31</f>
        <v>0000</v>
      </c>
      <c r="V31" s="18" t="str">
        <f>Q31&amp;R31&amp;S31</f>
        <v>100</v>
      </c>
      <c r="W31" s="18" t="s">
        <v>14</v>
      </c>
      <c r="X31" s="18" t="s">
        <v>35</v>
      </c>
      <c r="Y31" s="18" t="s">
        <v>15</v>
      </c>
      <c r="Z31" s="18" t="s">
        <v>17</v>
      </c>
      <c r="AA31" s="19" t="s">
        <v>69</v>
      </c>
    </row>
    <row r="32" spans="1:27" x14ac:dyDescent="0.25">
      <c r="A32" s="3" t="s">
        <v>41</v>
      </c>
      <c r="B32" s="4" t="s">
        <v>12</v>
      </c>
      <c r="C32" s="5" t="s">
        <v>42</v>
      </c>
      <c r="D32" s="6">
        <f>MOD(INT(HEX2DEC(MID($C32,3,10))/32768),2)</f>
        <v>0</v>
      </c>
      <c r="E32" s="7">
        <f>MOD(INT(HEX2DEC(MID($C32,3,10))/16384),2)</f>
        <v>0</v>
      </c>
      <c r="F32" s="7">
        <f>MOD(INT(HEX2DEC(MID($C32,3,10))/8192),2)</f>
        <v>0</v>
      </c>
      <c r="G32" s="7">
        <f>MOD(INT(HEX2DEC(MID($C32,3,10))/4096),2)</f>
        <v>0</v>
      </c>
      <c r="H32" s="7">
        <f>MOD(INT(HEX2DEC(MID($C32,3,10))/2048),2)</f>
        <v>0</v>
      </c>
      <c r="I32" s="7">
        <f>MOD(INT(HEX2DEC(MID($C32,3,10))/1024),2)</f>
        <v>0</v>
      </c>
      <c r="J32" s="7">
        <f>MOD(INT(HEX2DEC(MID($C32,3,10))/512),2)</f>
        <v>0</v>
      </c>
      <c r="K32" s="7">
        <f>MOD(INT(HEX2DEC(MID($C32,3,10))/256),2)</f>
        <v>0</v>
      </c>
      <c r="L32" s="7">
        <f>MOD(INT(HEX2DEC(MID($C32,3,10))/128),2)</f>
        <v>0</v>
      </c>
      <c r="M32" s="8">
        <f>MOD(INT(HEX2DEC(MID($C32,3,10))/64),2)</f>
        <v>0</v>
      </c>
      <c r="N32" s="8">
        <f>MOD(INT(HEX2DEC(MID($C32,3,10))/32),2)</f>
        <v>0</v>
      </c>
      <c r="O32" s="8">
        <f>MOD(INT(HEX2DEC(MID($C32,3,10))/16),2)</f>
        <v>1</v>
      </c>
      <c r="P32" s="8">
        <f>MOD(INT(HEX2DEC(MID($C32,3,10))/8),2)</f>
        <v>1</v>
      </c>
      <c r="Q32" s="9">
        <f>MOD(INT(HEX2DEC(MID($C32,3,10))/4),2)</f>
        <v>0</v>
      </c>
      <c r="R32" s="9">
        <f>MOD(INT(HEX2DEC(MID($C32,3,10))/2),2)</f>
        <v>0</v>
      </c>
      <c r="S32" s="9">
        <f>MOD(INT(HEX2DEC(MID($C32,3,10))/1),2)</f>
        <v>0</v>
      </c>
      <c r="T32" s="10" t="str">
        <f>"0x"&amp;DEC2HEX(INT(HEX2DEC(MID($C32,3,10))/128),3)</f>
        <v>0x000</v>
      </c>
      <c r="U32" s="10" t="str">
        <f>M32&amp;N32&amp;O32&amp;P32</f>
        <v>0011</v>
      </c>
      <c r="V32" s="10" t="str">
        <f>Q32&amp;R32&amp;S32</f>
        <v>000</v>
      </c>
      <c r="W32" s="10" t="s">
        <v>22</v>
      </c>
      <c r="X32" s="10" t="s">
        <v>16</v>
      </c>
      <c r="Y32" s="10" t="s">
        <v>16</v>
      </c>
      <c r="Z32" s="10" t="s">
        <v>43</v>
      </c>
      <c r="AA32" s="11" t="s">
        <v>23</v>
      </c>
    </row>
    <row r="33" spans="1:27" x14ac:dyDescent="0.25">
      <c r="A33" s="3"/>
      <c r="B33" s="12" t="s">
        <v>19</v>
      </c>
      <c r="C33" s="13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6"/>
      <c r="O33" s="16"/>
      <c r="P33" s="16"/>
      <c r="Q33" s="17"/>
      <c r="R33" s="17"/>
      <c r="S33" s="17"/>
      <c r="T33" s="18"/>
      <c r="U33" s="18"/>
      <c r="V33" s="18"/>
      <c r="W33" s="18"/>
      <c r="X33" s="18"/>
      <c r="Y33" s="18"/>
      <c r="Z33" s="18"/>
      <c r="AA33" s="19"/>
    </row>
    <row r="34" spans="1:27" x14ac:dyDescent="0.25">
      <c r="A34" s="3" t="s">
        <v>45</v>
      </c>
      <c r="B34" s="4" t="s">
        <v>12</v>
      </c>
      <c r="C34" s="5" t="s">
        <v>46</v>
      </c>
      <c r="D34" s="6">
        <f>MOD(INT(HEX2DEC(MID($C34,3,10))/32768),2)</f>
        <v>0</v>
      </c>
      <c r="E34" s="7">
        <f>MOD(INT(HEX2DEC(MID($C34,3,10))/16384),2)</f>
        <v>0</v>
      </c>
      <c r="F34" s="7">
        <f>MOD(INT(HEX2DEC(MID($C34,3,10))/8192),2)</f>
        <v>0</v>
      </c>
      <c r="G34" s="7">
        <f>MOD(INT(HEX2DEC(MID($C34,3,10))/4096),2)</f>
        <v>0</v>
      </c>
      <c r="H34" s="7">
        <f>MOD(INT(HEX2DEC(MID($C34,3,10))/2048),2)</f>
        <v>0</v>
      </c>
      <c r="I34" s="7">
        <f>MOD(INT(HEX2DEC(MID($C34,3,10))/1024),2)</f>
        <v>0</v>
      </c>
      <c r="J34" s="7">
        <f>MOD(INT(HEX2DEC(MID($C34,3,10))/512),2)</f>
        <v>0</v>
      </c>
      <c r="K34" s="7">
        <f>MOD(INT(HEX2DEC(MID($C34,3,10))/256),2)</f>
        <v>0</v>
      </c>
      <c r="L34" s="7">
        <f>MOD(INT(HEX2DEC(MID($C34,3,10))/128),2)</f>
        <v>0</v>
      </c>
      <c r="M34" s="8">
        <f>MOD(INT(HEX2DEC(MID($C34,3,10))/64),2)</f>
        <v>0</v>
      </c>
      <c r="N34" s="8">
        <f>MOD(INT(HEX2DEC(MID($C34,3,10))/32),2)</f>
        <v>0</v>
      </c>
      <c r="O34" s="8">
        <f>MOD(INT(HEX2DEC(MID($C34,3,10))/16),2)</f>
        <v>1</v>
      </c>
      <c r="P34" s="8">
        <f>MOD(INT(HEX2DEC(MID($C34,3,10))/8),2)</f>
        <v>1</v>
      </c>
      <c r="Q34" s="9">
        <f>MOD(INT(HEX2DEC(MID($C34,3,10))/4),2)</f>
        <v>1</v>
      </c>
      <c r="R34" s="9">
        <f>MOD(INT(HEX2DEC(MID($C34,3,10))/2),2)</f>
        <v>0</v>
      </c>
      <c r="S34" s="9">
        <f>MOD(INT(HEX2DEC(MID($C34,3,10))/1),2)</f>
        <v>0</v>
      </c>
      <c r="T34" s="10" t="str">
        <f>"0x"&amp;DEC2HEX(INT(HEX2DEC(MID($C34,3,10))/128),3)</f>
        <v>0x000</v>
      </c>
      <c r="U34" s="10" t="str">
        <f>M34&amp;N34&amp;O34&amp;P34</f>
        <v>0011</v>
      </c>
      <c r="V34" s="10" t="str">
        <f>Q34&amp;R34&amp;S34</f>
        <v>100</v>
      </c>
      <c r="W34" s="10" t="s">
        <v>22</v>
      </c>
      <c r="X34" s="10" t="s">
        <v>16</v>
      </c>
      <c r="Y34" s="10" t="s">
        <v>16</v>
      </c>
      <c r="Z34" s="10" t="s">
        <v>43</v>
      </c>
      <c r="AA34" s="11" t="s">
        <v>23</v>
      </c>
    </row>
    <row r="35" spans="1:27" x14ac:dyDescent="0.25">
      <c r="A35" s="3"/>
      <c r="B35" s="12" t="s">
        <v>19</v>
      </c>
      <c r="C35" s="13" t="s">
        <v>70</v>
      </c>
      <c r="D35" s="14">
        <f>MOD(INT(HEX2DEC(MID($C35,3,10))/32768),2)</f>
        <v>0</v>
      </c>
      <c r="E35" s="15">
        <f>MOD(INT(HEX2DEC(MID($C35,3,10))/16384),2)</f>
        <v>0</v>
      </c>
      <c r="F35" s="15">
        <f>MOD(INT(HEX2DEC(MID($C35,3,10))/8192),2)</f>
        <v>1</v>
      </c>
      <c r="G35" s="15">
        <f>MOD(INT(HEX2DEC(MID($C35,3,10))/4096),2)</f>
        <v>0</v>
      </c>
      <c r="H35" s="15">
        <f>MOD(INT(HEX2DEC(MID($C35,3,10))/2048),2)</f>
        <v>0</v>
      </c>
      <c r="I35" s="15">
        <f>MOD(INT(HEX2DEC(MID($C35,3,10))/1024),2)</f>
        <v>0</v>
      </c>
      <c r="J35" s="15">
        <f>MOD(INT(HEX2DEC(MID($C35,3,10))/512),2)</f>
        <v>0</v>
      </c>
      <c r="K35" s="15">
        <f>MOD(INT(HEX2DEC(MID($C35,3,10))/256),2)</f>
        <v>0</v>
      </c>
      <c r="L35" s="15">
        <f>MOD(INT(HEX2DEC(MID($C35,3,10))/128),2)</f>
        <v>1</v>
      </c>
      <c r="M35" s="16">
        <f>MOD(INT(HEX2DEC(MID($C35,3,10))/64),2)</f>
        <v>0</v>
      </c>
      <c r="N35" s="16">
        <f>MOD(INT(HEX2DEC(MID($C35,3,10))/32),2)</f>
        <v>0</v>
      </c>
      <c r="O35" s="16">
        <f>MOD(INT(HEX2DEC(MID($C35,3,10))/16),2)</f>
        <v>0</v>
      </c>
      <c r="P35" s="16">
        <f>MOD(INT(HEX2DEC(MID($C35,3,10))/8),2)</f>
        <v>0</v>
      </c>
      <c r="Q35" s="17">
        <f>MOD(INT(HEX2DEC(MID($C35,3,10))/4),2)</f>
        <v>1</v>
      </c>
      <c r="R35" s="17">
        <f>MOD(INT(HEX2DEC(MID($C35,3,10))/2),2)</f>
        <v>0</v>
      </c>
      <c r="S35" s="17">
        <f>MOD(INT(HEX2DEC(MID($C35,3,10))/1),2)</f>
        <v>0</v>
      </c>
      <c r="T35" s="18" t="str">
        <f>"0x"&amp;DEC2HEX(INT(HEX2DEC(MID($C35,3,10))/128),3)</f>
        <v>0x041</v>
      </c>
      <c r="U35" s="18" t="str">
        <f>M35&amp;N35&amp;O35&amp;P35</f>
        <v>0000</v>
      </c>
      <c r="V35" s="18" t="str">
        <f>Q35&amp;R35&amp;S35</f>
        <v>100</v>
      </c>
      <c r="W35" s="18" t="s">
        <v>14</v>
      </c>
      <c r="X35" s="18" t="s">
        <v>35</v>
      </c>
      <c r="Y35" s="18" t="s">
        <v>15</v>
      </c>
      <c r="Z35" s="18" t="s">
        <v>17</v>
      </c>
      <c r="AA35" s="19" t="s">
        <v>71</v>
      </c>
    </row>
    <row r="36" spans="1:27" x14ac:dyDescent="0.25">
      <c r="A36" s="3" t="s">
        <v>49</v>
      </c>
      <c r="B36" s="4" t="s">
        <v>12</v>
      </c>
      <c r="C36" s="5" t="s">
        <v>50</v>
      </c>
      <c r="D36" s="6">
        <f>MOD(INT(HEX2DEC(MID($C36,3,10))/32768),2)</f>
        <v>0</v>
      </c>
      <c r="E36" s="7">
        <f>MOD(INT(HEX2DEC(MID($C36,3,10))/16384),2)</f>
        <v>0</v>
      </c>
      <c r="F36" s="7">
        <f>MOD(INT(HEX2DEC(MID($C36,3,10))/8192),2)</f>
        <v>0</v>
      </c>
      <c r="G36" s="7">
        <f>MOD(INT(HEX2DEC(MID($C36,3,10))/4096),2)</f>
        <v>0</v>
      </c>
      <c r="H36" s="7">
        <f>MOD(INT(HEX2DEC(MID($C36,3,10))/2048),2)</f>
        <v>0</v>
      </c>
      <c r="I36" s="7">
        <f>MOD(INT(HEX2DEC(MID($C36,3,10))/1024),2)</f>
        <v>0</v>
      </c>
      <c r="J36" s="7">
        <f>MOD(INT(HEX2DEC(MID($C36,3,10))/512),2)</f>
        <v>0</v>
      </c>
      <c r="K36" s="7">
        <f>MOD(INT(HEX2DEC(MID($C36,3,10))/256),2)</f>
        <v>0</v>
      </c>
      <c r="L36" s="7">
        <f>MOD(INT(HEX2DEC(MID($C36,3,10))/128),2)</f>
        <v>0</v>
      </c>
      <c r="M36" s="8">
        <f>MOD(INT(HEX2DEC(MID($C36,3,10))/64),2)</f>
        <v>0</v>
      </c>
      <c r="N36" s="8">
        <f>MOD(INT(HEX2DEC(MID($C36,3,10))/32),2)</f>
        <v>1</v>
      </c>
      <c r="O36" s="8">
        <f>MOD(INT(HEX2DEC(MID($C36,3,10))/16),2)</f>
        <v>0</v>
      </c>
      <c r="P36" s="8">
        <f>MOD(INT(HEX2DEC(MID($C36,3,10))/8),2)</f>
        <v>0</v>
      </c>
      <c r="Q36" s="9">
        <f>MOD(INT(HEX2DEC(MID($C36,3,10))/4),2)</f>
        <v>0</v>
      </c>
      <c r="R36" s="9">
        <f>MOD(INT(HEX2DEC(MID($C36,3,10))/2),2)</f>
        <v>0</v>
      </c>
      <c r="S36" s="9">
        <f>MOD(INT(HEX2DEC(MID($C36,3,10))/1),2)</f>
        <v>0</v>
      </c>
      <c r="T36" s="10" t="str">
        <f>"0x"&amp;DEC2HEX(INT(HEX2DEC(MID($C36,3,10))/128),3)</f>
        <v>0x000</v>
      </c>
      <c r="U36" s="10" t="str">
        <f>M36&amp;N36&amp;O36&amp;P36</f>
        <v>0100</v>
      </c>
      <c r="V36" s="10" t="str">
        <f>Q36&amp;R36&amp;S36</f>
        <v>000</v>
      </c>
      <c r="W36" s="10" t="s">
        <v>22</v>
      </c>
      <c r="X36" s="10" t="s">
        <v>16</v>
      </c>
      <c r="Y36" s="10" t="s">
        <v>16</v>
      </c>
      <c r="Z36" s="10" t="s">
        <v>51</v>
      </c>
      <c r="AA36" s="11" t="s">
        <v>23</v>
      </c>
    </row>
    <row r="37" spans="1:27" x14ac:dyDescent="0.25">
      <c r="A37" s="3"/>
      <c r="B37" s="12" t="s">
        <v>19</v>
      </c>
      <c r="C37" s="13"/>
      <c r="D37" s="14"/>
      <c r="E37" s="15"/>
      <c r="F37" s="15"/>
      <c r="G37" s="15"/>
      <c r="H37" s="15"/>
      <c r="I37" s="15"/>
      <c r="J37" s="15"/>
      <c r="K37" s="15"/>
      <c r="L37" s="15"/>
      <c r="M37" s="16"/>
      <c r="N37" s="16"/>
      <c r="O37" s="16"/>
      <c r="P37" s="16"/>
      <c r="Q37" s="17"/>
      <c r="R37" s="17"/>
      <c r="S37" s="17"/>
      <c r="T37" s="18"/>
      <c r="U37" s="18"/>
      <c r="V37" s="18"/>
      <c r="W37" s="18"/>
      <c r="X37" s="18"/>
      <c r="Y37" s="18"/>
      <c r="Z37" s="18"/>
      <c r="AA37" s="19"/>
    </row>
    <row r="38" spans="1:27" x14ac:dyDescent="0.25">
      <c r="A38" s="3" t="s">
        <v>53</v>
      </c>
      <c r="B38" s="4" t="s">
        <v>12</v>
      </c>
      <c r="C38" s="5" t="s">
        <v>54</v>
      </c>
      <c r="D38" s="6">
        <f>MOD(INT(HEX2DEC(MID($C38,3,10))/32768),2)</f>
        <v>0</v>
      </c>
      <c r="E38" s="7">
        <f>MOD(INT(HEX2DEC(MID($C38,3,10))/16384),2)</f>
        <v>0</v>
      </c>
      <c r="F38" s="7">
        <f>MOD(INT(HEX2DEC(MID($C38,3,10))/8192),2)</f>
        <v>0</v>
      </c>
      <c r="G38" s="7">
        <f>MOD(INT(HEX2DEC(MID($C38,3,10))/4096),2)</f>
        <v>0</v>
      </c>
      <c r="H38" s="7">
        <f>MOD(INT(HEX2DEC(MID($C38,3,10))/2048),2)</f>
        <v>0</v>
      </c>
      <c r="I38" s="7">
        <f>MOD(INT(HEX2DEC(MID($C38,3,10))/1024),2)</f>
        <v>0</v>
      </c>
      <c r="J38" s="7">
        <f>MOD(INT(HEX2DEC(MID($C38,3,10))/512),2)</f>
        <v>0</v>
      </c>
      <c r="K38" s="7">
        <f>MOD(INT(HEX2DEC(MID($C38,3,10))/256),2)</f>
        <v>0</v>
      </c>
      <c r="L38" s="7">
        <f>MOD(INT(HEX2DEC(MID($C38,3,10))/128),2)</f>
        <v>0</v>
      </c>
      <c r="M38" s="8">
        <f>MOD(INT(HEX2DEC(MID($C38,3,10))/64),2)</f>
        <v>0</v>
      </c>
      <c r="N38" s="8">
        <f>MOD(INT(HEX2DEC(MID($C38,3,10))/32),2)</f>
        <v>1</v>
      </c>
      <c r="O38" s="8">
        <f>MOD(INT(HEX2DEC(MID($C38,3,10))/16),2)</f>
        <v>0</v>
      </c>
      <c r="P38" s="8">
        <f>MOD(INT(HEX2DEC(MID($C38,3,10))/8),2)</f>
        <v>0</v>
      </c>
      <c r="Q38" s="9">
        <f>MOD(INT(HEX2DEC(MID($C38,3,10))/4),2)</f>
        <v>1</v>
      </c>
      <c r="R38" s="9">
        <f>MOD(INT(HEX2DEC(MID($C38,3,10))/2),2)</f>
        <v>0</v>
      </c>
      <c r="S38" s="9">
        <f>MOD(INT(HEX2DEC(MID($C38,3,10))/1),2)</f>
        <v>0</v>
      </c>
      <c r="T38" s="10" t="str">
        <f>"0x"&amp;DEC2HEX(INT(HEX2DEC(MID($C38,3,10))/128),3)</f>
        <v>0x000</v>
      </c>
      <c r="U38" s="10" t="str">
        <f>M38&amp;N38&amp;O38&amp;P38</f>
        <v>0100</v>
      </c>
      <c r="V38" s="10" t="str">
        <f>Q38&amp;R38&amp;S38</f>
        <v>100</v>
      </c>
      <c r="W38" s="10" t="s">
        <v>22</v>
      </c>
      <c r="X38" s="10" t="s">
        <v>16</v>
      </c>
      <c r="Y38" s="10" t="s">
        <v>16</v>
      </c>
      <c r="Z38" s="10" t="s">
        <v>51</v>
      </c>
      <c r="AA38" s="11" t="s">
        <v>23</v>
      </c>
    </row>
    <row r="39" spans="1:27" x14ac:dyDescent="0.25">
      <c r="A39" s="3"/>
      <c r="B39" s="12" t="s">
        <v>19</v>
      </c>
      <c r="C39" s="13"/>
      <c r="D39" s="14"/>
      <c r="E39" s="15"/>
      <c r="F39" s="15"/>
      <c r="G39" s="15"/>
      <c r="H39" s="15"/>
      <c r="I39" s="15"/>
      <c r="J39" s="15"/>
      <c r="K39" s="15"/>
      <c r="L39" s="15"/>
      <c r="M39" s="16"/>
      <c r="N39" s="16"/>
      <c r="O39" s="16"/>
      <c r="P39" s="16"/>
      <c r="Q39" s="17"/>
      <c r="R39" s="17"/>
      <c r="S39" s="17"/>
      <c r="T39" s="18"/>
      <c r="U39" s="18"/>
      <c r="V39" s="18"/>
      <c r="W39" s="18"/>
      <c r="X39" s="18"/>
      <c r="Y39" s="18"/>
      <c r="Z39" s="18"/>
      <c r="AA39" s="19"/>
    </row>
    <row r="40" spans="1:27" x14ac:dyDescent="0.25">
      <c r="A40" s="3" t="s">
        <v>55</v>
      </c>
      <c r="B40" s="4" t="s">
        <v>12</v>
      </c>
      <c r="C40" s="5" t="s">
        <v>56</v>
      </c>
      <c r="D40" s="6">
        <f>MOD(INT(HEX2DEC(MID($C40,3,10))/32768),2)</f>
        <v>0</v>
      </c>
      <c r="E40" s="7">
        <f>MOD(INT(HEX2DEC(MID($C40,3,10))/16384),2)</f>
        <v>0</v>
      </c>
      <c r="F40" s="7">
        <f>MOD(INT(HEX2DEC(MID($C40,3,10))/8192),2)</f>
        <v>0</v>
      </c>
      <c r="G40" s="7">
        <f>MOD(INT(HEX2DEC(MID($C40,3,10))/4096),2)</f>
        <v>0</v>
      </c>
      <c r="H40" s="7">
        <f>MOD(INT(HEX2DEC(MID($C40,3,10))/2048),2)</f>
        <v>0</v>
      </c>
      <c r="I40" s="7">
        <f>MOD(INT(HEX2DEC(MID($C40,3,10))/1024),2)</f>
        <v>0</v>
      </c>
      <c r="J40" s="7">
        <f>MOD(INT(HEX2DEC(MID($C40,3,10))/512),2)</f>
        <v>0</v>
      </c>
      <c r="K40" s="7">
        <f>MOD(INT(HEX2DEC(MID($C40,3,10))/256),2)</f>
        <v>0</v>
      </c>
      <c r="L40" s="7">
        <f>MOD(INT(HEX2DEC(MID($C40,3,10))/128),2)</f>
        <v>0</v>
      </c>
      <c r="M40" s="8">
        <f>MOD(INT(HEX2DEC(MID($C40,3,10))/64),2)</f>
        <v>0</v>
      </c>
      <c r="N40" s="8">
        <f>MOD(INT(HEX2DEC(MID($C40,3,10))/32),2)</f>
        <v>1</v>
      </c>
      <c r="O40" s="8">
        <f>MOD(INT(HEX2DEC(MID($C40,3,10))/16),2)</f>
        <v>0</v>
      </c>
      <c r="P40" s="8">
        <f>MOD(INT(HEX2DEC(MID($C40,3,10))/8),2)</f>
        <v>1</v>
      </c>
      <c r="Q40" s="9">
        <f>MOD(INT(HEX2DEC(MID($C40,3,10))/4),2)</f>
        <v>0</v>
      </c>
      <c r="R40" s="9">
        <f>MOD(INT(HEX2DEC(MID($C40,3,10))/2),2)</f>
        <v>0</v>
      </c>
      <c r="S40" s="9">
        <f>MOD(INT(HEX2DEC(MID($C40,3,10))/1),2)</f>
        <v>0</v>
      </c>
      <c r="T40" s="10" t="str">
        <f>"0x"&amp;DEC2HEX(INT(HEX2DEC(MID($C40,3,10))/128),3)</f>
        <v>0x000</v>
      </c>
      <c r="U40" s="10" t="str">
        <f>M40&amp;N40&amp;O40&amp;P40</f>
        <v>0101</v>
      </c>
      <c r="V40" s="10" t="str">
        <f>Q40&amp;R40&amp;S40</f>
        <v>000</v>
      </c>
      <c r="W40" s="10" t="s">
        <v>22</v>
      </c>
      <c r="X40" s="10" t="s">
        <v>16</v>
      </c>
      <c r="Y40" s="10" t="s">
        <v>16</v>
      </c>
      <c r="Z40" s="10" t="s">
        <v>57</v>
      </c>
      <c r="AA40" s="11" t="s">
        <v>23</v>
      </c>
    </row>
    <row r="41" spans="1:27" x14ac:dyDescent="0.25">
      <c r="A41" s="3"/>
      <c r="B41" s="12" t="s">
        <v>19</v>
      </c>
      <c r="C41" s="13"/>
      <c r="D41" s="14"/>
      <c r="E41" s="15"/>
      <c r="F41" s="15"/>
      <c r="G41" s="15"/>
      <c r="H41" s="15"/>
      <c r="I41" s="15"/>
      <c r="J41" s="15"/>
      <c r="K41" s="15"/>
      <c r="L41" s="15"/>
      <c r="M41" s="16"/>
      <c r="N41" s="16"/>
      <c r="O41" s="16"/>
      <c r="P41" s="16"/>
      <c r="Q41" s="17"/>
      <c r="R41" s="17"/>
      <c r="S41" s="17"/>
      <c r="T41" s="18"/>
      <c r="U41" s="18"/>
      <c r="V41" s="18"/>
      <c r="W41" s="18"/>
      <c r="X41" s="18"/>
      <c r="Y41" s="18"/>
      <c r="Z41" s="18"/>
      <c r="AA41" s="19"/>
    </row>
    <row r="42" spans="1:27" x14ac:dyDescent="0.25">
      <c r="A42" s="3" t="s">
        <v>59</v>
      </c>
      <c r="B42" s="4" t="s">
        <v>12</v>
      </c>
      <c r="C42" s="5" t="s">
        <v>60</v>
      </c>
      <c r="D42" s="6">
        <f>MOD(INT(HEX2DEC(MID($C42,3,10))/32768),2)</f>
        <v>0</v>
      </c>
      <c r="E42" s="7">
        <f>MOD(INT(HEX2DEC(MID($C42,3,10))/16384),2)</f>
        <v>0</v>
      </c>
      <c r="F42" s="7">
        <f>MOD(INT(HEX2DEC(MID($C42,3,10))/8192),2)</f>
        <v>0</v>
      </c>
      <c r="G42" s="7">
        <f>MOD(INT(HEX2DEC(MID($C42,3,10))/4096),2)</f>
        <v>0</v>
      </c>
      <c r="H42" s="7">
        <f>MOD(INT(HEX2DEC(MID($C42,3,10))/2048),2)</f>
        <v>0</v>
      </c>
      <c r="I42" s="7">
        <f>MOD(INT(HEX2DEC(MID($C42,3,10))/1024),2)</f>
        <v>0</v>
      </c>
      <c r="J42" s="7">
        <f>MOD(INT(HEX2DEC(MID($C42,3,10))/512),2)</f>
        <v>0</v>
      </c>
      <c r="K42" s="7">
        <f>MOD(INT(HEX2DEC(MID($C42,3,10))/256),2)</f>
        <v>0</v>
      </c>
      <c r="L42" s="7">
        <f>MOD(INT(HEX2DEC(MID($C42,3,10))/128),2)</f>
        <v>0</v>
      </c>
      <c r="M42" s="8">
        <f>MOD(INT(HEX2DEC(MID($C42,3,10))/64),2)</f>
        <v>0</v>
      </c>
      <c r="N42" s="8">
        <f>MOD(INT(HEX2DEC(MID($C42,3,10))/32),2)</f>
        <v>1</v>
      </c>
      <c r="O42" s="8">
        <f>MOD(INT(HEX2DEC(MID($C42,3,10))/16),2)</f>
        <v>0</v>
      </c>
      <c r="P42" s="8">
        <f>MOD(INT(HEX2DEC(MID($C42,3,10))/8),2)</f>
        <v>1</v>
      </c>
      <c r="Q42" s="9">
        <f>MOD(INT(HEX2DEC(MID($C42,3,10))/4),2)</f>
        <v>1</v>
      </c>
      <c r="R42" s="9">
        <f>MOD(INT(HEX2DEC(MID($C42,3,10))/2),2)</f>
        <v>0</v>
      </c>
      <c r="S42" s="9">
        <f>MOD(INT(HEX2DEC(MID($C42,3,10))/1),2)</f>
        <v>0</v>
      </c>
      <c r="T42" s="10" t="str">
        <f>"0x"&amp;DEC2HEX(INT(HEX2DEC(MID($C42,3,10))/128),3)</f>
        <v>0x000</v>
      </c>
      <c r="U42" s="10" t="str">
        <f>M42&amp;N42&amp;O42&amp;P42</f>
        <v>0101</v>
      </c>
      <c r="V42" s="10" t="str">
        <f>Q42&amp;R42&amp;S42</f>
        <v>100</v>
      </c>
      <c r="W42" s="10" t="s">
        <v>22</v>
      </c>
      <c r="X42" s="10" t="s">
        <v>16</v>
      </c>
      <c r="Y42" s="10" t="s">
        <v>16</v>
      </c>
      <c r="Z42" s="10" t="s">
        <v>57</v>
      </c>
      <c r="AA42" s="11" t="s">
        <v>23</v>
      </c>
    </row>
    <row r="43" spans="1:27" x14ac:dyDescent="0.25">
      <c r="A43" s="3"/>
      <c r="B43" s="12" t="s">
        <v>19</v>
      </c>
      <c r="C43" s="13"/>
      <c r="D43" s="14"/>
      <c r="E43" s="15"/>
      <c r="F43" s="15"/>
      <c r="G43" s="15"/>
      <c r="H43" s="15"/>
      <c r="I43" s="15"/>
      <c r="J43" s="15"/>
      <c r="K43" s="15"/>
      <c r="L43" s="15"/>
      <c r="M43" s="16"/>
      <c r="N43" s="16"/>
      <c r="O43" s="16"/>
      <c r="P43" s="16"/>
      <c r="Q43" s="17"/>
      <c r="R43" s="17"/>
      <c r="S43" s="17"/>
      <c r="T43" s="18"/>
      <c r="U43" s="18"/>
      <c r="V43" s="18"/>
      <c r="W43" s="18"/>
      <c r="X43" s="18"/>
      <c r="Y43" s="18"/>
      <c r="Z43" s="18"/>
      <c r="AA43" s="19"/>
    </row>
    <row r="44" spans="1:27" x14ac:dyDescent="0.25">
      <c r="A44" s="3" t="s">
        <v>61</v>
      </c>
      <c r="B44" s="4" t="s">
        <v>12</v>
      </c>
      <c r="C44" s="5" t="s">
        <v>62</v>
      </c>
      <c r="D44" s="6">
        <f>MOD(INT(HEX2DEC(MID($C44,3,10))/32768),2)</f>
        <v>0</v>
      </c>
      <c r="E44" s="7">
        <f>MOD(INT(HEX2DEC(MID($C44,3,10))/16384),2)</f>
        <v>0</v>
      </c>
      <c r="F44" s="7">
        <f>MOD(INT(HEX2DEC(MID($C44,3,10))/8192),2)</f>
        <v>0</v>
      </c>
      <c r="G44" s="7">
        <f>MOD(INT(HEX2DEC(MID($C44,3,10))/4096),2)</f>
        <v>0</v>
      </c>
      <c r="H44" s="7">
        <f>MOD(INT(HEX2DEC(MID($C44,3,10))/2048),2)</f>
        <v>0</v>
      </c>
      <c r="I44" s="7">
        <f>MOD(INT(HEX2DEC(MID($C44,3,10))/1024),2)</f>
        <v>0</v>
      </c>
      <c r="J44" s="7">
        <f>MOD(INT(HEX2DEC(MID($C44,3,10))/512),2)</f>
        <v>0</v>
      </c>
      <c r="K44" s="7">
        <f>MOD(INT(HEX2DEC(MID($C44,3,10))/256),2)</f>
        <v>0</v>
      </c>
      <c r="L44" s="7">
        <f>MOD(INT(HEX2DEC(MID($C44,3,10))/128),2)</f>
        <v>0</v>
      </c>
      <c r="M44" s="8">
        <f>MOD(INT(HEX2DEC(MID($C44,3,10))/64),2)</f>
        <v>0</v>
      </c>
      <c r="N44" s="8">
        <f>MOD(INT(HEX2DEC(MID($C44,3,10))/32),2)</f>
        <v>1</v>
      </c>
      <c r="O44" s="8">
        <f>MOD(INT(HEX2DEC(MID($C44,3,10))/16),2)</f>
        <v>1</v>
      </c>
      <c r="P44" s="8">
        <f>MOD(INT(HEX2DEC(MID($C44,3,10))/8),2)</f>
        <v>0</v>
      </c>
      <c r="Q44" s="9">
        <f>MOD(INT(HEX2DEC(MID($C44,3,10))/4),2)</f>
        <v>0</v>
      </c>
      <c r="R44" s="9">
        <f>MOD(INT(HEX2DEC(MID($C44,3,10))/2),2)</f>
        <v>0</v>
      </c>
      <c r="S44" s="9">
        <f>MOD(INT(HEX2DEC(MID($C44,3,10))/1),2)</f>
        <v>0</v>
      </c>
      <c r="T44" s="10" t="str">
        <f>"0x"&amp;DEC2HEX(INT(HEX2DEC(MID($C44,3,10))/128),3)</f>
        <v>0x000</v>
      </c>
      <c r="U44" s="10" t="str">
        <f>M44&amp;N44&amp;O44&amp;P44</f>
        <v>0110</v>
      </c>
      <c r="V44" s="10" t="str">
        <f>Q44&amp;R44&amp;S44</f>
        <v>000</v>
      </c>
      <c r="W44" s="10" t="s">
        <v>22</v>
      </c>
      <c r="X44" s="10" t="s">
        <v>16</v>
      </c>
      <c r="Y44" s="10" t="s">
        <v>16</v>
      </c>
      <c r="Z44" s="10" t="s">
        <v>63</v>
      </c>
      <c r="AA44" s="11" t="s">
        <v>23</v>
      </c>
    </row>
    <row r="45" spans="1:27" x14ac:dyDescent="0.25">
      <c r="A45" s="3"/>
      <c r="B45" s="12" t="s">
        <v>19</v>
      </c>
      <c r="C45" s="13"/>
      <c r="D45" s="14"/>
      <c r="E45" s="15"/>
      <c r="F45" s="15"/>
      <c r="G45" s="15"/>
      <c r="H45" s="15"/>
      <c r="I45" s="15"/>
      <c r="J45" s="15"/>
      <c r="K45" s="15"/>
      <c r="L45" s="15"/>
      <c r="M45" s="16"/>
      <c r="N45" s="16"/>
      <c r="O45" s="16"/>
      <c r="P45" s="16"/>
      <c r="Q45" s="17"/>
      <c r="R45" s="17"/>
      <c r="S45" s="17"/>
      <c r="T45" s="18"/>
      <c r="U45" s="18"/>
      <c r="V45" s="18"/>
      <c r="W45" s="18"/>
      <c r="X45" s="18"/>
      <c r="Y45" s="18"/>
      <c r="Z45" s="18"/>
      <c r="AA45" s="19"/>
    </row>
    <row r="46" spans="1:27" x14ac:dyDescent="0.25">
      <c r="A46" s="3" t="s">
        <v>72</v>
      </c>
      <c r="B46" s="4" t="s">
        <v>12</v>
      </c>
      <c r="C46" s="5" t="s">
        <v>73</v>
      </c>
      <c r="D46" s="6">
        <f>MOD(INT(HEX2DEC(MID($C46,3,10))/32768),2)</f>
        <v>0</v>
      </c>
      <c r="E46" s="7">
        <f>MOD(INT(HEX2DEC(MID($C46,3,10))/16384),2)</f>
        <v>0</v>
      </c>
      <c r="F46" s="7">
        <f>MOD(INT(HEX2DEC(MID($C46,3,10))/8192),2)</f>
        <v>0</v>
      </c>
      <c r="G46" s="7">
        <f>MOD(INT(HEX2DEC(MID($C46,3,10))/4096),2)</f>
        <v>0</v>
      </c>
      <c r="H46" s="7">
        <f>MOD(INT(HEX2DEC(MID($C46,3,10))/2048),2)</f>
        <v>0</v>
      </c>
      <c r="I46" s="7">
        <f>MOD(INT(HEX2DEC(MID($C46,3,10))/1024),2)</f>
        <v>0</v>
      </c>
      <c r="J46" s="7">
        <f>MOD(INT(HEX2DEC(MID($C46,3,10))/512),2)</f>
        <v>0</v>
      </c>
      <c r="K46" s="7">
        <f>MOD(INT(HEX2DEC(MID($C46,3,10))/256),2)</f>
        <v>0</v>
      </c>
      <c r="L46" s="7">
        <f>MOD(INT(HEX2DEC(MID($C46,3,10))/128),2)</f>
        <v>0</v>
      </c>
      <c r="M46" s="8">
        <f>MOD(INT(HEX2DEC(MID($C46,3,10))/64),2)</f>
        <v>0</v>
      </c>
      <c r="N46" s="8">
        <f>MOD(INT(HEX2DEC(MID($C46,3,10))/32),2)</f>
        <v>1</v>
      </c>
      <c r="O46" s="8">
        <f>MOD(INT(HEX2DEC(MID($C46,3,10))/16),2)</f>
        <v>1</v>
      </c>
      <c r="P46" s="8">
        <f>MOD(INT(HEX2DEC(MID($C46,3,10))/8),2)</f>
        <v>0</v>
      </c>
      <c r="Q46" s="9">
        <f>MOD(INT(HEX2DEC(MID($C46,3,10))/4),2)</f>
        <v>1</v>
      </c>
      <c r="R46" s="9">
        <f>MOD(INT(HEX2DEC(MID($C46,3,10))/2),2)</f>
        <v>0</v>
      </c>
      <c r="S46" s="9">
        <f>MOD(INT(HEX2DEC(MID($C46,3,10))/1),2)</f>
        <v>0</v>
      </c>
      <c r="T46" s="10" t="str">
        <f>"0x"&amp;DEC2HEX(INT(HEX2DEC(MID($C46,3,10))/128),3)</f>
        <v>0x000</v>
      </c>
      <c r="U46" s="10" t="str">
        <f>M46&amp;N46&amp;O46&amp;P46</f>
        <v>0110</v>
      </c>
      <c r="V46" s="10" t="str">
        <f>Q46&amp;R46&amp;S46</f>
        <v>100</v>
      </c>
      <c r="W46" s="10" t="s">
        <v>22</v>
      </c>
      <c r="X46" s="10" t="s">
        <v>16</v>
      </c>
      <c r="Y46" s="10" t="s">
        <v>16</v>
      </c>
      <c r="Z46" s="10" t="s">
        <v>63</v>
      </c>
      <c r="AA46" s="11" t="s">
        <v>23</v>
      </c>
    </row>
    <row r="47" spans="1:27" x14ac:dyDescent="0.25">
      <c r="A47" s="3"/>
      <c r="B47" s="12" t="s">
        <v>19</v>
      </c>
      <c r="C47" s="13"/>
      <c r="D47" s="14"/>
      <c r="E47" s="15"/>
      <c r="F47" s="15"/>
      <c r="G47" s="15"/>
      <c r="H47" s="15"/>
      <c r="I47" s="15"/>
      <c r="J47" s="15"/>
      <c r="K47" s="15"/>
      <c r="L47" s="15"/>
      <c r="M47" s="16"/>
      <c r="N47" s="16"/>
      <c r="O47" s="16"/>
      <c r="P47" s="16"/>
      <c r="Q47" s="17"/>
      <c r="R47" s="17"/>
      <c r="S47" s="17"/>
      <c r="T47" s="18"/>
      <c r="U47" s="18"/>
      <c r="V47" s="18"/>
      <c r="W47" s="18"/>
      <c r="X47" s="18"/>
      <c r="Y47" s="18"/>
      <c r="Z47" s="18"/>
      <c r="AA47" s="19"/>
    </row>
    <row r="50" spans="1:12" x14ac:dyDescent="0.25">
      <c r="A50" s="20" t="s">
        <v>74</v>
      </c>
      <c r="B50" s="20" t="s">
        <v>3</v>
      </c>
      <c r="C50" s="20" t="s">
        <v>75</v>
      </c>
      <c r="D50" s="20" t="s">
        <v>76</v>
      </c>
      <c r="E50" s="20" t="s">
        <v>77</v>
      </c>
      <c r="F50" s="20" t="s">
        <v>78</v>
      </c>
      <c r="G50" s="20" t="s">
        <v>79</v>
      </c>
      <c r="H50" s="20" t="s">
        <v>80</v>
      </c>
      <c r="I50" s="20" t="s">
        <v>81</v>
      </c>
      <c r="J50" s="20" t="s">
        <v>82</v>
      </c>
      <c r="K50" s="20" t="s">
        <v>83</v>
      </c>
      <c r="L50" s="20" t="s">
        <v>84</v>
      </c>
    </row>
    <row r="51" spans="1:12" x14ac:dyDescent="0.25">
      <c r="A51" s="21">
        <v>0</v>
      </c>
      <c r="B51" s="21" t="s">
        <v>85</v>
      </c>
      <c r="C51" s="21">
        <v>1</v>
      </c>
      <c r="D51" s="21">
        <v>1</v>
      </c>
      <c r="E51" s="21" t="s">
        <v>86</v>
      </c>
      <c r="F51" s="21" t="s">
        <v>87</v>
      </c>
      <c r="G51" s="21" t="s">
        <v>88</v>
      </c>
      <c r="H51" s="21" t="s">
        <v>88</v>
      </c>
      <c r="I51" s="21" t="s">
        <v>89</v>
      </c>
      <c r="J51" s="21" t="s">
        <v>90</v>
      </c>
      <c r="K51" s="21" t="s">
        <v>88</v>
      </c>
      <c r="L51" s="21" t="s">
        <v>88</v>
      </c>
    </row>
    <row r="52" spans="1:12" x14ac:dyDescent="0.25">
      <c r="A52" s="21">
        <v>1</v>
      </c>
      <c r="B52" s="21" t="s">
        <v>91</v>
      </c>
      <c r="C52" s="21">
        <v>0</v>
      </c>
      <c r="D52" s="21">
        <v>1</v>
      </c>
      <c r="E52" s="21" t="s">
        <v>92</v>
      </c>
      <c r="F52" s="21"/>
      <c r="G52" s="21"/>
      <c r="H52" s="21"/>
      <c r="I52" s="21" t="s">
        <v>93</v>
      </c>
      <c r="J52" s="21"/>
      <c r="K52" s="21"/>
      <c r="L52" s="21"/>
    </row>
    <row r="53" spans="1:12" x14ac:dyDescent="0.25">
      <c r="A53" s="21">
        <v>2</v>
      </c>
      <c r="B53" s="21" t="s">
        <v>91</v>
      </c>
      <c r="C53" s="21">
        <v>0</v>
      </c>
      <c r="D53" s="21">
        <v>1</v>
      </c>
      <c r="E53" s="21" t="s">
        <v>94</v>
      </c>
      <c r="F53" s="21"/>
      <c r="G53" s="21"/>
      <c r="H53" s="21"/>
      <c r="I53" s="21" t="s">
        <v>95</v>
      </c>
      <c r="J53" s="21"/>
      <c r="K53" s="21"/>
      <c r="L53" s="21"/>
    </row>
    <row r="54" spans="1:12" x14ac:dyDescent="0.25">
      <c r="A54" s="21">
        <v>3</v>
      </c>
      <c r="B54" s="21" t="s">
        <v>91</v>
      </c>
      <c r="C54" s="21">
        <v>0</v>
      </c>
      <c r="D54" s="21">
        <v>1</v>
      </c>
      <c r="E54" s="21" t="s">
        <v>96</v>
      </c>
      <c r="F54" s="21"/>
      <c r="G54" s="21"/>
      <c r="H54" s="21"/>
      <c r="I54" s="21" t="s">
        <v>97</v>
      </c>
      <c r="J54" s="21"/>
      <c r="K54" s="21"/>
      <c r="L54" s="21"/>
    </row>
    <row r="55" spans="1:12" x14ac:dyDescent="0.25">
      <c r="A55" s="21">
        <v>4</v>
      </c>
      <c r="B55" s="21" t="s">
        <v>91</v>
      </c>
      <c r="C55" s="21">
        <v>0</v>
      </c>
      <c r="D55" s="21">
        <v>1</v>
      </c>
      <c r="E55" s="21" t="s">
        <v>98</v>
      </c>
      <c r="F55" s="21"/>
      <c r="G55" s="21"/>
      <c r="H55" s="21"/>
      <c r="I55" s="21" t="s">
        <v>99</v>
      </c>
      <c r="J55" s="21"/>
      <c r="K55" s="21"/>
      <c r="L55" s="21"/>
    </row>
    <row r="56" spans="1:12" x14ac:dyDescent="0.25">
      <c r="A56" s="21">
        <v>5</v>
      </c>
      <c r="B56" s="21" t="s">
        <v>91</v>
      </c>
      <c r="C56" s="21">
        <v>0</v>
      </c>
      <c r="D56" s="21">
        <v>1</v>
      </c>
      <c r="E56" s="21" t="s">
        <v>100</v>
      </c>
      <c r="F56" s="21"/>
      <c r="G56" s="21"/>
      <c r="H56" s="21"/>
      <c r="I56" s="21" t="s">
        <v>101</v>
      </c>
      <c r="J56" s="21"/>
      <c r="K56" s="21"/>
      <c r="L56" s="21"/>
    </row>
    <row r="57" spans="1:12" x14ac:dyDescent="0.25">
      <c r="A57" s="21">
        <v>6</v>
      </c>
      <c r="B57" s="21" t="s">
        <v>91</v>
      </c>
      <c r="C57" s="21">
        <v>0</v>
      </c>
      <c r="D57" s="21">
        <v>1</v>
      </c>
      <c r="E57" s="21" t="s">
        <v>102</v>
      </c>
      <c r="F57" s="21"/>
      <c r="G57" s="21"/>
      <c r="H57" s="21"/>
      <c r="I57" s="21" t="s">
        <v>103</v>
      </c>
      <c r="J57" s="21"/>
      <c r="K57" s="21"/>
      <c r="L57" s="21"/>
    </row>
    <row r="58" spans="1:12" x14ac:dyDescent="0.25">
      <c r="A58" s="21">
        <v>7</v>
      </c>
      <c r="B58" s="21"/>
      <c r="C58" s="21"/>
      <c r="D58" s="21">
        <v>0</v>
      </c>
      <c r="E58" s="21"/>
      <c r="F58" s="21"/>
      <c r="G58" s="21"/>
      <c r="H58" s="21"/>
      <c r="I58" s="21"/>
      <c r="J58" s="21"/>
      <c r="K58" s="21"/>
      <c r="L58" s="21"/>
    </row>
    <row r="59" spans="1:12" x14ac:dyDescent="0.25">
      <c r="A59" s="21">
        <v>8</v>
      </c>
      <c r="B59" s="21"/>
      <c r="C59" s="21"/>
      <c r="D59" s="21">
        <v>0</v>
      </c>
      <c r="E59" s="21"/>
      <c r="F59" s="21"/>
      <c r="G59" s="21"/>
      <c r="H59" s="21"/>
      <c r="I59" s="21"/>
      <c r="J59" s="21"/>
      <c r="K59" s="21"/>
      <c r="L59" s="21"/>
    </row>
    <row r="60" spans="1:12" x14ac:dyDescent="0.25">
      <c r="A60" s="21">
        <v>9</v>
      </c>
      <c r="B60" s="21"/>
      <c r="C60" s="21"/>
      <c r="D60" s="21">
        <v>0</v>
      </c>
      <c r="E60" s="21"/>
      <c r="F60" s="21"/>
      <c r="G60" s="21"/>
      <c r="H60" s="21"/>
      <c r="I60" s="21"/>
      <c r="J60" s="21"/>
      <c r="K60" s="21"/>
      <c r="L60" s="21"/>
    </row>
    <row r="61" spans="1:12" x14ac:dyDescent="0.25">
      <c r="A61" s="21" t="s">
        <v>104</v>
      </c>
      <c r="B61" s="21"/>
      <c r="C61" s="21"/>
      <c r="D61" s="21">
        <v>0</v>
      </c>
      <c r="E61" s="21"/>
      <c r="F61" s="21"/>
      <c r="G61" s="21"/>
      <c r="H61" s="21"/>
      <c r="I61" s="21"/>
      <c r="J61" s="21"/>
      <c r="K61" s="21"/>
      <c r="L61" s="21"/>
    </row>
    <row r="62" spans="1:12" x14ac:dyDescent="0.25">
      <c r="A62" s="21" t="s">
        <v>105</v>
      </c>
      <c r="B62" s="21"/>
      <c r="C62" s="21"/>
      <c r="D62" s="21">
        <v>0</v>
      </c>
      <c r="E62" s="21"/>
      <c r="F62" s="21"/>
      <c r="G62" s="21"/>
      <c r="H62" s="21"/>
      <c r="I62" s="21"/>
      <c r="J62" s="21"/>
      <c r="K62" s="21"/>
      <c r="L62" s="21"/>
    </row>
    <row r="63" spans="1:12" x14ac:dyDescent="0.25">
      <c r="A63" s="21" t="s">
        <v>106</v>
      </c>
      <c r="B63" s="21"/>
      <c r="C63" s="21"/>
      <c r="D63" s="21">
        <v>0</v>
      </c>
      <c r="E63" s="21"/>
      <c r="F63" s="21"/>
      <c r="G63" s="21"/>
      <c r="H63" s="21"/>
      <c r="I63" s="21"/>
      <c r="J63" s="21"/>
      <c r="K63" s="21"/>
      <c r="L63" s="21"/>
    </row>
    <row r="64" spans="1:12" x14ac:dyDescent="0.25">
      <c r="A64" s="21" t="s">
        <v>75</v>
      </c>
      <c r="B64" s="21"/>
      <c r="C64" s="21"/>
      <c r="D64" s="21">
        <v>0</v>
      </c>
      <c r="E64" s="21"/>
      <c r="F64" s="21"/>
      <c r="G64" s="21"/>
      <c r="H64" s="21"/>
      <c r="I64" s="21"/>
      <c r="J64" s="21"/>
      <c r="K64" s="21"/>
      <c r="L64" s="21"/>
    </row>
    <row r="65" spans="1:12" x14ac:dyDescent="0.25">
      <c r="A65" s="21" t="s">
        <v>107</v>
      </c>
      <c r="B65" s="21"/>
      <c r="C65" s="21"/>
      <c r="D65" s="21">
        <v>0</v>
      </c>
      <c r="E65" s="21"/>
      <c r="F65" s="21"/>
      <c r="G65" s="21"/>
      <c r="H65" s="21"/>
      <c r="I65" s="21"/>
      <c r="J65" s="21"/>
      <c r="K65" s="21"/>
      <c r="L65" s="21"/>
    </row>
    <row r="66" spans="1:12" x14ac:dyDescent="0.25">
      <c r="A66" s="21" t="s">
        <v>108</v>
      </c>
      <c r="B66" s="21"/>
      <c r="C66" s="21"/>
      <c r="D66" s="21">
        <v>0</v>
      </c>
      <c r="E66" s="21"/>
      <c r="F66" s="21"/>
      <c r="G66" s="21"/>
      <c r="H66" s="21"/>
      <c r="I66" s="21"/>
      <c r="J66" s="21"/>
      <c r="K66" s="21"/>
      <c r="L66" s="21"/>
    </row>
    <row r="69" spans="1:3" x14ac:dyDescent="0.25">
      <c r="A69" s="20" t="s">
        <v>109</v>
      </c>
      <c r="B69" s="20" t="s">
        <v>110</v>
      </c>
      <c r="C69" s="20" t="s">
        <v>111</v>
      </c>
    </row>
    <row r="70" spans="1:3" x14ac:dyDescent="0.25">
      <c r="A70" s="22" t="s">
        <v>112</v>
      </c>
      <c r="B70" s="22" t="s">
        <v>113</v>
      </c>
      <c r="C70" s="22">
        <v>4104</v>
      </c>
    </row>
    <row r="71" spans="1:3" x14ac:dyDescent="0.25">
      <c r="A71" s="22" t="s">
        <v>114</v>
      </c>
      <c r="B71" s="22" t="s">
        <v>115</v>
      </c>
      <c r="C71" s="22">
        <v>8200</v>
      </c>
    </row>
    <row r="72" spans="1:3" x14ac:dyDescent="0.25">
      <c r="A72" s="22" t="s">
        <v>116</v>
      </c>
      <c r="B72" s="22" t="s">
        <v>117</v>
      </c>
      <c r="C72" s="22">
        <v>8328</v>
      </c>
    </row>
    <row r="73" spans="1:3" x14ac:dyDescent="0.25">
      <c r="A73" s="22" t="s">
        <v>118</v>
      </c>
      <c r="B73" s="22" t="s">
        <v>13</v>
      </c>
      <c r="C73" s="22">
        <v>0</v>
      </c>
    </row>
    <row r="74" spans="1:3" x14ac:dyDescent="0.25">
      <c r="A74" s="22" t="s">
        <v>119</v>
      </c>
      <c r="B74" s="22" t="s">
        <v>120</v>
      </c>
      <c r="C74" s="22">
        <v>34</v>
      </c>
    </row>
    <row r="75" spans="1:3" x14ac:dyDescent="0.25">
      <c r="A75" s="22" t="s">
        <v>121</v>
      </c>
      <c r="B75" s="22" t="s">
        <v>122</v>
      </c>
      <c r="C75" s="22">
        <v>512</v>
      </c>
    </row>
    <row r="76" spans="1:3" x14ac:dyDescent="0.25">
      <c r="A76" s="22" t="s">
        <v>123</v>
      </c>
      <c r="B76" s="22" t="s">
        <v>124</v>
      </c>
      <c r="C76" s="22">
        <v>546</v>
      </c>
    </row>
  </sheetData>
  <mergeCells count="3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E52:H52"/>
    <mergeCell ref="I52:L52"/>
    <mergeCell ref="E53:H53"/>
    <mergeCell ref="I53:L53"/>
    <mergeCell ref="E54:H54"/>
    <mergeCell ref="I54:L54"/>
    <mergeCell ref="E55:H55"/>
    <mergeCell ref="I55:L55"/>
    <mergeCell ref="E56:H56"/>
    <mergeCell ref="I56:L56"/>
    <mergeCell ref="E57:H57"/>
    <mergeCell ref="I57:L5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10" customWidth="1"/>
    <col min="4" max="19" width="4.3" customWidth="1"/>
    <col min="20" max="20" width="9.5" customWidth="1"/>
    <col min="23" max="23" width="10" customWidth="1"/>
    <col min="24" max="24" width="11" customWidth="1"/>
    <col min="25" max="25" width="6" customWidth="1"/>
    <col min="26" max="26" width="8" customWidth="1"/>
    <col min="27" max="27" width="9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2">
        <v>15</v>
      </c>
      <c r="E1" s="2">
        <v>14</v>
      </c>
      <c r="F1" s="2">
        <v>13</v>
      </c>
      <c r="G1" s="2">
        <v>12</v>
      </c>
      <c r="H1" s="2">
        <v>11</v>
      </c>
      <c r="I1" s="2">
        <v>10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</row>
    <row r="2" spans="1:27" x14ac:dyDescent="0.25">
      <c r="A2" s="3" t="s">
        <v>11</v>
      </c>
      <c r="B2" s="4" t="s">
        <v>12</v>
      </c>
      <c r="C2" s="5" t="s">
        <v>13</v>
      </c>
      <c r="D2" s="6">
        <f>MOD(INT(HEX2DEC(MID($C2,3,10))/32768),2)</f>
        <v>0</v>
      </c>
      <c r="E2" s="7">
        <f>MOD(INT(HEX2DEC(MID($C2,3,10))/16384),2)</f>
        <v>0</v>
      </c>
      <c r="F2" s="7">
        <f>MOD(INT(HEX2DEC(MID($C2,3,10))/8192),2)</f>
        <v>0</v>
      </c>
      <c r="G2" s="7">
        <f>MOD(INT(HEX2DEC(MID($C2,3,10))/4096),2)</f>
        <v>0</v>
      </c>
      <c r="H2" s="7">
        <f>MOD(INT(HEX2DEC(MID($C2,3,10))/2048),2)</f>
        <v>0</v>
      </c>
      <c r="I2" s="7">
        <f>MOD(INT(HEX2DEC(MID($C2,3,10))/1024),2)</f>
        <v>0</v>
      </c>
      <c r="J2" s="7">
        <f>MOD(INT(HEX2DEC(MID($C2,3,10))/512),2)</f>
        <v>0</v>
      </c>
      <c r="K2" s="7">
        <f>MOD(INT(HEX2DEC(MID($C2,3,10))/256),2)</f>
        <v>0</v>
      </c>
      <c r="L2" s="7">
        <f>MOD(INT(HEX2DEC(MID($C2,3,10))/128),2)</f>
        <v>0</v>
      </c>
      <c r="M2" s="7">
        <f>MOD(INT(HEX2DEC(MID($C2,3,10))/64),2)</f>
        <v>0</v>
      </c>
      <c r="N2" s="8">
        <f>MOD(INT(HEX2DEC(MID($C2,3,10))/32),2)</f>
        <v>0</v>
      </c>
      <c r="O2" s="8">
        <f>MOD(INT(HEX2DEC(MID($C2,3,10))/16),2)</f>
        <v>0</v>
      </c>
      <c r="P2" s="8">
        <f>MOD(INT(HEX2DEC(MID($C2,3,10))/8),2)</f>
        <v>0</v>
      </c>
      <c r="Q2" s="9">
        <f>MOD(INT(HEX2DEC(MID($C2,3,10))/4),2)</f>
        <v>0</v>
      </c>
      <c r="R2" s="9">
        <f>MOD(INT(HEX2DEC(MID($C2,3,10))/2),2)</f>
        <v>0</v>
      </c>
      <c r="S2" s="9">
        <f>MOD(INT(HEX2DEC(MID($C2,3,10))/1),2)</f>
        <v>0</v>
      </c>
      <c r="T2" s="10" t="str">
        <f>"0x"&amp;DEC2HEX(INT(HEX2DEC(MID($C2,3,10))/64),3)</f>
        <v>0x000</v>
      </c>
      <c r="U2" s="10" t="str">
        <f>N2&amp;O2&amp;P2</f>
        <v>000</v>
      </c>
      <c r="V2" s="10" t="str">
        <f>Q2&amp;R2&amp;S2</f>
        <v>000</v>
      </c>
      <c r="W2" s="10" t="s">
        <v>14</v>
      </c>
      <c r="X2" s="10" t="s">
        <v>15</v>
      </c>
      <c r="Y2" s="10" t="s">
        <v>16</v>
      </c>
      <c r="Z2" s="10" t="s">
        <v>17</v>
      </c>
      <c r="AA2" s="11" t="s">
        <v>18</v>
      </c>
    </row>
    <row r="3" spans="1:27" x14ac:dyDescent="0.25">
      <c r="A3" s="3"/>
      <c r="B3" s="12" t="s">
        <v>19</v>
      </c>
      <c r="C3" s="13"/>
      <c r="D3" s="14"/>
      <c r="E3" s="15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7"/>
      <c r="R3" s="17"/>
      <c r="S3" s="17"/>
      <c r="T3" s="18"/>
      <c r="U3" s="18"/>
      <c r="V3" s="18"/>
      <c r="W3" s="18"/>
      <c r="X3" s="18"/>
      <c r="Y3" s="18"/>
      <c r="Z3" s="18"/>
      <c r="AA3" s="19"/>
    </row>
    <row r="4" spans="1:27" x14ac:dyDescent="0.25">
      <c r="A4" s="3" t="s">
        <v>20</v>
      </c>
      <c r="B4" s="4" t="s">
        <v>12</v>
      </c>
      <c r="C4" s="5" t="s">
        <v>21</v>
      </c>
      <c r="D4" s="6">
        <f>MOD(INT(HEX2DEC(MID($C4,3,10))/32768),2)</f>
        <v>0</v>
      </c>
      <c r="E4" s="7">
        <f>MOD(INT(HEX2DEC(MID($C4,3,10))/16384),2)</f>
        <v>0</v>
      </c>
      <c r="F4" s="7">
        <f>MOD(INT(HEX2DEC(MID($C4,3,10))/8192),2)</f>
        <v>0</v>
      </c>
      <c r="G4" s="7">
        <f>MOD(INT(HEX2DEC(MID($C4,3,10))/4096),2)</f>
        <v>0</v>
      </c>
      <c r="H4" s="7">
        <f>MOD(INT(HEX2DEC(MID($C4,3,10))/2048),2)</f>
        <v>0</v>
      </c>
      <c r="I4" s="7">
        <f>MOD(INT(HEX2DEC(MID($C4,3,10))/1024),2)</f>
        <v>0</v>
      </c>
      <c r="J4" s="7">
        <f>MOD(INT(HEX2DEC(MID($C4,3,10))/512),2)</f>
        <v>0</v>
      </c>
      <c r="K4" s="7">
        <f>MOD(INT(HEX2DEC(MID($C4,3,10))/256),2)</f>
        <v>0</v>
      </c>
      <c r="L4" s="7">
        <f>MOD(INT(HEX2DEC(MID($C4,3,10))/128),2)</f>
        <v>0</v>
      </c>
      <c r="M4" s="7">
        <f>MOD(INT(HEX2DEC(MID($C4,3,10))/64),2)</f>
        <v>0</v>
      </c>
      <c r="N4" s="8">
        <f>MOD(INT(HEX2DEC(MID($C4,3,10))/32),2)</f>
        <v>0</v>
      </c>
      <c r="O4" s="8">
        <f>MOD(INT(HEX2DEC(MID($C4,3,10))/16),2)</f>
        <v>0</v>
      </c>
      <c r="P4" s="8">
        <f>MOD(INT(HEX2DEC(MID($C4,3,10))/8),2)</f>
        <v>0</v>
      </c>
      <c r="Q4" s="9">
        <f>MOD(INT(HEX2DEC(MID($C4,3,10))/4),2)</f>
        <v>1</v>
      </c>
      <c r="R4" s="9">
        <f>MOD(INT(HEX2DEC(MID($C4,3,10))/2),2)</f>
        <v>0</v>
      </c>
      <c r="S4" s="9">
        <f>MOD(INT(HEX2DEC(MID($C4,3,10))/1),2)</f>
        <v>0</v>
      </c>
      <c r="T4" s="10" t="str">
        <f>"0x"&amp;DEC2HEX(INT(HEX2DEC(MID($C4,3,10))/64),3)</f>
        <v>0x000</v>
      </c>
      <c r="U4" s="10" t="str">
        <f>N4&amp;O4&amp;P4</f>
        <v>000</v>
      </c>
      <c r="V4" s="10" t="str">
        <f>Q4&amp;R4&amp;S4</f>
        <v>100</v>
      </c>
      <c r="W4" s="10" t="s">
        <v>22</v>
      </c>
      <c r="X4" s="10" t="s">
        <v>16</v>
      </c>
      <c r="Y4" s="10" t="s">
        <v>16</v>
      </c>
      <c r="Z4" s="10" t="s">
        <v>17</v>
      </c>
      <c r="AA4" s="11" t="s">
        <v>23</v>
      </c>
    </row>
    <row r="5" spans="1:27" x14ac:dyDescent="0.25">
      <c r="A5" s="3"/>
      <c r="B5" s="12" t="s">
        <v>19</v>
      </c>
      <c r="C5" s="13"/>
      <c r="D5" s="14"/>
      <c r="E5" s="15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7"/>
      <c r="R5" s="17"/>
      <c r="S5" s="17"/>
      <c r="T5" s="18"/>
      <c r="U5" s="18"/>
      <c r="V5" s="18"/>
      <c r="W5" s="18"/>
      <c r="X5" s="18"/>
      <c r="Y5" s="18"/>
      <c r="Z5" s="18"/>
      <c r="AA5" s="19"/>
    </row>
    <row r="6" spans="1:27" x14ac:dyDescent="0.25">
      <c r="A6" s="3" t="s">
        <v>24</v>
      </c>
      <c r="B6" s="4" t="s">
        <v>12</v>
      </c>
      <c r="C6" s="5" t="s">
        <v>25</v>
      </c>
      <c r="D6" s="6">
        <f>MOD(INT(HEX2DEC(MID($C6,3,10))/32768),2)</f>
        <v>0</v>
      </c>
      <c r="E6" s="7">
        <f>MOD(INT(HEX2DEC(MID($C6,3,10))/16384),2)</f>
        <v>0</v>
      </c>
      <c r="F6" s="7">
        <f>MOD(INT(HEX2DEC(MID($C6,3,10))/8192),2)</f>
        <v>0</v>
      </c>
      <c r="G6" s="7">
        <f>MOD(INT(HEX2DEC(MID($C6,3,10))/4096),2)</f>
        <v>0</v>
      </c>
      <c r="H6" s="7">
        <f>MOD(INT(HEX2DEC(MID($C6,3,10))/2048),2)</f>
        <v>0</v>
      </c>
      <c r="I6" s="7">
        <f>MOD(INT(HEX2DEC(MID($C6,3,10))/1024),2)</f>
        <v>0</v>
      </c>
      <c r="J6" s="7">
        <f>MOD(INT(HEX2DEC(MID($C6,3,10))/512),2)</f>
        <v>0</v>
      </c>
      <c r="K6" s="7">
        <f>MOD(INT(HEX2DEC(MID($C6,3,10))/256),2)</f>
        <v>0</v>
      </c>
      <c r="L6" s="7">
        <f>MOD(INT(HEX2DEC(MID($C6,3,10))/128),2)</f>
        <v>0</v>
      </c>
      <c r="M6" s="7">
        <f>MOD(INT(HEX2DEC(MID($C6,3,10))/64),2)</f>
        <v>0</v>
      </c>
      <c r="N6" s="8">
        <f>MOD(INT(HEX2DEC(MID($C6,3,10))/32),2)</f>
        <v>0</v>
      </c>
      <c r="O6" s="8">
        <f>MOD(INT(HEX2DEC(MID($C6,3,10))/16),2)</f>
        <v>0</v>
      </c>
      <c r="P6" s="8">
        <f>MOD(INT(HEX2DEC(MID($C6,3,10))/8),2)</f>
        <v>1</v>
      </c>
      <c r="Q6" s="9">
        <f>MOD(INT(HEX2DEC(MID($C6,3,10))/4),2)</f>
        <v>0</v>
      </c>
      <c r="R6" s="9">
        <f>MOD(INT(HEX2DEC(MID($C6,3,10))/2),2)</f>
        <v>0</v>
      </c>
      <c r="S6" s="9">
        <f>MOD(INT(HEX2DEC(MID($C6,3,10))/1),2)</f>
        <v>0</v>
      </c>
      <c r="T6" s="10" t="str">
        <f>"0x"&amp;DEC2HEX(INT(HEX2DEC(MID($C6,3,10))/64),3)</f>
        <v>0x000</v>
      </c>
      <c r="U6" s="10" t="str">
        <f>N6&amp;O6&amp;P6</f>
        <v>001</v>
      </c>
      <c r="V6" s="10" t="str">
        <f>Q6&amp;R6&amp;S6</f>
        <v>000</v>
      </c>
      <c r="W6" s="10" t="s">
        <v>14</v>
      </c>
      <c r="X6" s="10" t="s">
        <v>15</v>
      </c>
      <c r="Y6" s="10" t="s">
        <v>16</v>
      </c>
      <c r="Z6" s="10" t="s">
        <v>32</v>
      </c>
      <c r="AA6" s="11" t="s">
        <v>125</v>
      </c>
    </row>
    <row r="7" spans="1:27" x14ac:dyDescent="0.25">
      <c r="A7" s="3"/>
      <c r="B7" s="12" t="s">
        <v>19</v>
      </c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7"/>
      <c r="R7" s="17"/>
      <c r="S7" s="17"/>
      <c r="T7" s="18"/>
      <c r="U7" s="18"/>
      <c r="V7" s="18"/>
      <c r="W7" s="18"/>
      <c r="X7" s="18"/>
      <c r="Y7" s="18"/>
      <c r="Z7" s="18"/>
      <c r="AA7" s="19"/>
    </row>
    <row r="8" spans="1:27" x14ac:dyDescent="0.25">
      <c r="A8" s="3" t="s">
        <v>28</v>
      </c>
      <c r="B8" s="4" t="s">
        <v>12</v>
      </c>
      <c r="C8" s="5" t="s">
        <v>29</v>
      </c>
      <c r="D8" s="6">
        <f>MOD(INT(HEX2DEC(MID($C8,3,10))/32768),2)</f>
        <v>0</v>
      </c>
      <c r="E8" s="7">
        <f>MOD(INT(HEX2DEC(MID($C8,3,10))/16384),2)</f>
        <v>0</v>
      </c>
      <c r="F8" s="7">
        <f>MOD(INT(HEX2DEC(MID($C8,3,10))/8192),2)</f>
        <v>0</v>
      </c>
      <c r="G8" s="7">
        <f>MOD(INT(HEX2DEC(MID($C8,3,10))/4096),2)</f>
        <v>0</v>
      </c>
      <c r="H8" s="7">
        <f>MOD(INT(HEX2DEC(MID($C8,3,10))/2048),2)</f>
        <v>0</v>
      </c>
      <c r="I8" s="7">
        <f>MOD(INT(HEX2DEC(MID($C8,3,10))/1024),2)</f>
        <v>0</v>
      </c>
      <c r="J8" s="7">
        <f>MOD(INT(HEX2DEC(MID($C8,3,10))/512),2)</f>
        <v>0</v>
      </c>
      <c r="K8" s="7">
        <f>MOD(INT(HEX2DEC(MID($C8,3,10))/256),2)</f>
        <v>0</v>
      </c>
      <c r="L8" s="7">
        <f>MOD(INT(HEX2DEC(MID($C8,3,10))/128),2)</f>
        <v>0</v>
      </c>
      <c r="M8" s="7">
        <f>MOD(INT(HEX2DEC(MID($C8,3,10))/64),2)</f>
        <v>0</v>
      </c>
      <c r="N8" s="8">
        <f>MOD(INT(HEX2DEC(MID($C8,3,10))/32),2)</f>
        <v>0</v>
      </c>
      <c r="O8" s="8">
        <f>MOD(INT(HEX2DEC(MID($C8,3,10))/16),2)</f>
        <v>0</v>
      </c>
      <c r="P8" s="8">
        <f>MOD(INT(HEX2DEC(MID($C8,3,10))/8),2)</f>
        <v>1</v>
      </c>
      <c r="Q8" s="9">
        <f>MOD(INT(HEX2DEC(MID($C8,3,10))/4),2)</f>
        <v>1</v>
      </c>
      <c r="R8" s="9">
        <f>MOD(INT(HEX2DEC(MID($C8,3,10))/2),2)</f>
        <v>0</v>
      </c>
      <c r="S8" s="9">
        <f>MOD(INT(HEX2DEC(MID($C8,3,10))/1),2)</f>
        <v>0</v>
      </c>
      <c r="T8" s="10" t="str">
        <f>"0x"&amp;DEC2HEX(INT(HEX2DEC(MID($C8,3,10))/64),3)</f>
        <v>0x000</v>
      </c>
      <c r="U8" s="10" t="str">
        <f>N8&amp;O8&amp;P8</f>
        <v>001</v>
      </c>
      <c r="V8" s="10" t="str">
        <f>Q8&amp;R8&amp;S8</f>
        <v>100</v>
      </c>
      <c r="W8" s="10" t="s">
        <v>22</v>
      </c>
      <c r="X8" s="10" t="s">
        <v>16</v>
      </c>
      <c r="Y8" s="10" t="s">
        <v>16</v>
      </c>
      <c r="Z8" s="10" t="s">
        <v>32</v>
      </c>
      <c r="AA8" s="11" t="s">
        <v>23</v>
      </c>
    </row>
    <row r="9" spans="1:27" x14ac:dyDescent="0.25">
      <c r="A9" s="3"/>
      <c r="B9" s="12" t="s">
        <v>19</v>
      </c>
      <c r="C9" s="13"/>
      <c r="D9" s="14"/>
      <c r="E9" s="15"/>
      <c r="F9" s="15"/>
      <c r="G9" s="15"/>
      <c r="H9" s="15"/>
      <c r="I9" s="15"/>
      <c r="J9" s="15"/>
      <c r="K9" s="15"/>
      <c r="L9" s="15"/>
      <c r="M9" s="15"/>
      <c r="N9" s="16"/>
      <c r="O9" s="16"/>
      <c r="P9" s="16"/>
      <c r="Q9" s="17"/>
      <c r="R9" s="17"/>
      <c r="S9" s="17"/>
      <c r="T9" s="18"/>
      <c r="U9" s="18"/>
      <c r="V9" s="18"/>
      <c r="W9" s="18"/>
      <c r="X9" s="18"/>
      <c r="Y9" s="18"/>
      <c r="Z9" s="18"/>
      <c r="AA9" s="19"/>
    </row>
    <row r="10" spans="1:27" x14ac:dyDescent="0.25">
      <c r="A10" s="3" t="s">
        <v>30</v>
      </c>
      <c r="B10" s="4" t="s">
        <v>12</v>
      </c>
      <c r="C10" s="5" t="s">
        <v>31</v>
      </c>
      <c r="D10" s="6">
        <f>MOD(INT(HEX2DEC(MID($C10,3,10))/32768),2)</f>
        <v>0</v>
      </c>
      <c r="E10" s="7">
        <f>MOD(INT(HEX2DEC(MID($C10,3,10))/16384),2)</f>
        <v>0</v>
      </c>
      <c r="F10" s="7">
        <f>MOD(INT(HEX2DEC(MID($C10,3,10))/8192),2)</f>
        <v>0</v>
      </c>
      <c r="G10" s="7">
        <f>MOD(INT(HEX2DEC(MID($C10,3,10))/4096),2)</f>
        <v>0</v>
      </c>
      <c r="H10" s="7">
        <f>MOD(INT(HEX2DEC(MID($C10,3,10))/2048),2)</f>
        <v>0</v>
      </c>
      <c r="I10" s="7">
        <f>MOD(INT(HEX2DEC(MID($C10,3,10))/1024),2)</f>
        <v>0</v>
      </c>
      <c r="J10" s="7">
        <f>MOD(INT(HEX2DEC(MID($C10,3,10))/512),2)</f>
        <v>0</v>
      </c>
      <c r="K10" s="7">
        <f>MOD(INT(HEX2DEC(MID($C10,3,10))/256),2)</f>
        <v>0</v>
      </c>
      <c r="L10" s="7">
        <f>MOD(INT(HEX2DEC(MID($C10,3,10))/128),2)</f>
        <v>0</v>
      </c>
      <c r="M10" s="7">
        <f>MOD(INT(HEX2DEC(MID($C10,3,10))/64),2)</f>
        <v>0</v>
      </c>
      <c r="N10" s="8">
        <f>MOD(INT(HEX2DEC(MID($C10,3,10))/32),2)</f>
        <v>0</v>
      </c>
      <c r="O10" s="8">
        <f>MOD(INT(HEX2DEC(MID($C10,3,10))/16),2)</f>
        <v>1</v>
      </c>
      <c r="P10" s="8">
        <f>MOD(INT(HEX2DEC(MID($C10,3,10))/8),2)</f>
        <v>0</v>
      </c>
      <c r="Q10" s="9">
        <f>MOD(INT(HEX2DEC(MID($C10,3,10))/4),2)</f>
        <v>0</v>
      </c>
      <c r="R10" s="9">
        <f>MOD(INT(HEX2DEC(MID($C10,3,10))/2),2)</f>
        <v>0</v>
      </c>
      <c r="S10" s="9">
        <f>MOD(INT(HEX2DEC(MID($C10,3,10))/1),2)</f>
        <v>0</v>
      </c>
      <c r="T10" s="10" t="str">
        <f>"0x"&amp;DEC2HEX(INT(HEX2DEC(MID($C10,3,10))/64),3)</f>
        <v>0x000</v>
      </c>
      <c r="U10" s="10" t="str">
        <f>N10&amp;O10&amp;P10</f>
        <v>010</v>
      </c>
      <c r="V10" s="10" t="str">
        <f>Q10&amp;R10&amp;S10</f>
        <v>000</v>
      </c>
      <c r="W10" s="10" t="s">
        <v>14</v>
      </c>
      <c r="X10" s="10" t="s">
        <v>15</v>
      </c>
      <c r="Y10" s="10" t="s">
        <v>16</v>
      </c>
      <c r="Z10" s="10" t="s">
        <v>51</v>
      </c>
      <c r="AA10" s="11" t="s">
        <v>126</v>
      </c>
    </row>
    <row r="11" spans="1:27" x14ac:dyDescent="0.25">
      <c r="A11" s="3"/>
      <c r="B11" s="12" t="s">
        <v>19</v>
      </c>
      <c r="C11" s="13" t="s">
        <v>34</v>
      </c>
      <c r="D11" s="14">
        <f>MOD(INT(HEX2DEC(MID($C11,3,10))/32768),2)</f>
        <v>0</v>
      </c>
      <c r="E11" s="15">
        <f>MOD(INT(HEX2DEC(MID($C11,3,10))/16384),2)</f>
        <v>0</v>
      </c>
      <c r="F11" s="15">
        <f>MOD(INT(HEX2DEC(MID($C11,3,10))/8192),2)</f>
        <v>0</v>
      </c>
      <c r="G11" s="15">
        <f>MOD(INT(HEX2DEC(MID($C11,3,10))/4096),2)</f>
        <v>1</v>
      </c>
      <c r="H11" s="15">
        <f>MOD(INT(HEX2DEC(MID($C11,3,10))/2048),2)</f>
        <v>0</v>
      </c>
      <c r="I11" s="15">
        <f>MOD(INT(HEX2DEC(MID($C11,3,10))/1024),2)</f>
        <v>0</v>
      </c>
      <c r="J11" s="15">
        <f>MOD(INT(HEX2DEC(MID($C11,3,10))/512),2)</f>
        <v>0</v>
      </c>
      <c r="K11" s="15">
        <f>MOD(INT(HEX2DEC(MID($C11,3,10))/256),2)</f>
        <v>0</v>
      </c>
      <c r="L11" s="15">
        <f>MOD(INT(HEX2DEC(MID($C11,3,10))/128),2)</f>
        <v>0</v>
      </c>
      <c r="M11" s="15">
        <f>MOD(INT(HEX2DEC(MID($C11,3,10))/64),2)</f>
        <v>0</v>
      </c>
      <c r="N11" s="16">
        <f>MOD(INT(HEX2DEC(MID($C11,3,10))/32),2)</f>
        <v>0</v>
      </c>
      <c r="O11" s="16">
        <f>MOD(INT(HEX2DEC(MID($C11,3,10))/16),2)</f>
        <v>0</v>
      </c>
      <c r="P11" s="16">
        <f>MOD(INT(HEX2DEC(MID($C11,3,10))/8),2)</f>
        <v>0</v>
      </c>
      <c r="Q11" s="17">
        <f>MOD(INT(HEX2DEC(MID($C11,3,10))/4),2)</f>
        <v>0</v>
      </c>
      <c r="R11" s="17">
        <f>MOD(INT(HEX2DEC(MID($C11,3,10))/2),2)</f>
        <v>0</v>
      </c>
      <c r="S11" s="17">
        <f>MOD(INT(HEX2DEC(MID($C11,3,10))/1),2)</f>
        <v>0</v>
      </c>
      <c r="T11" s="18" t="str">
        <f>"0x"&amp;DEC2HEX(INT(HEX2DEC(MID($C11,3,10))/64),3)</f>
        <v>0x040</v>
      </c>
      <c r="U11" s="18" t="str">
        <f>N11&amp;O11&amp;P11</f>
        <v>000</v>
      </c>
      <c r="V11" s="18" t="str">
        <f>Q11&amp;R11&amp;S11</f>
        <v>000</v>
      </c>
      <c r="W11" s="18" t="s">
        <v>14</v>
      </c>
      <c r="X11" s="18" t="s">
        <v>15</v>
      </c>
      <c r="Y11" s="18" t="s">
        <v>16</v>
      </c>
      <c r="Z11" s="18" t="s">
        <v>26</v>
      </c>
      <c r="AA11" s="19" t="s">
        <v>127</v>
      </c>
    </row>
    <row r="12" spans="1:27" x14ac:dyDescent="0.25">
      <c r="A12" s="3" t="s">
        <v>37</v>
      </c>
      <c r="B12" s="4" t="s">
        <v>12</v>
      </c>
      <c r="C12" s="5" t="s">
        <v>38</v>
      </c>
      <c r="D12" s="6">
        <f>MOD(INT(HEX2DEC(MID($C12,3,10))/32768),2)</f>
        <v>0</v>
      </c>
      <c r="E12" s="7">
        <f>MOD(INT(HEX2DEC(MID($C12,3,10))/16384),2)</f>
        <v>0</v>
      </c>
      <c r="F12" s="7">
        <f>MOD(INT(HEX2DEC(MID($C12,3,10))/8192),2)</f>
        <v>0</v>
      </c>
      <c r="G12" s="7">
        <f>MOD(INT(HEX2DEC(MID($C12,3,10))/4096),2)</f>
        <v>0</v>
      </c>
      <c r="H12" s="7">
        <f>MOD(INT(HEX2DEC(MID($C12,3,10))/2048),2)</f>
        <v>0</v>
      </c>
      <c r="I12" s="7">
        <f>MOD(INT(HEX2DEC(MID($C12,3,10))/1024),2)</f>
        <v>0</v>
      </c>
      <c r="J12" s="7">
        <f>MOD(INT(HEX2DEC(MID($C12,3,10))/512),2)</f>
        <v>0</v>
      </c>
      <c r="K12" s="7">
        <f>MOD(INT(HEX2DEC(MID($C12,3,10))/256),2)</f>
        <v>0</v>
      </c>
      <c r="L12" s="7">
        <f>MOD(INT(HEX2DEC(MID($C12,3,10))/128),2)</f>
        <v>0</v>
      </c>
      <c r="M12" s="7">
        <f>MOD(INT(HEX2DEC(MID($C12,3,10))/64),2)</f>
        <v>0</v>
      </c>
      <c r="N12" s="8">
        <f>MOD(INT(HEX2DEC(MID($C12,3,10))/32),2)</f>
        <v>0</v>
      </c>
      <c r="O12" s="8">
        <f>MOD(INT(HEX2DEC(MID($C12,3,10))/16),2)</f>
        <v>1</v>
      </c>
      <c r="P12" s="8">
        <f>MOD(INT(HEX2DEC(MID($C12,3,10))/8),2)</f>
        <v>0</v>
      </c>
      <c r="Q12" s="9">
        <f>MOD(INT(HEX2DEC(MID($C12,3,10))/4),2)</f>
        <v>1</v>
      </c>
      <c r="R12" s="9">
        <f>MOD(INT(HEX2DEC(MID($C12,3,10))/2),2)</f>
        <v>0</v>
      </c>
      <c r="S12" s="9">
        <f>MOD(INT(HEX2DEC(MID($C12,3,10))/1),2)</f>
        <v>0</v>
      </c>
      <c r="T12" s="10" t="str">
        <f>"0x"&amp;DEC2HEX(INT(HEX2DEC(MID($C12,3,10))/64),3)</f>
        <v>0x000</v>
      </c>
      <c r="U12" s="10" t="str">
        <f>N12&amp;O12&amp;P12</f>
        <v>010</v>
      </c>
      <c r="V12" s="10" t="str">
        <f>Q12&amp;R12&amp;S12</f>
        <v>100</v>
      </c>
      <c r="W12" s="10" t="s">
        <v>22</v>
      </c>
      <c r="X12" s="10" t="s">
        <v>16</v>
      </c>
      <c r="Y12" s="10" t="s">
        <v>16</v>
      </c>
      <c r="Z12" s="10" t="s">
        <v>51</v>
      </c>
      <c r="AA12" s="11" t="s">
        <v>23</v>
      </c>
    </row>
    <row r="13" spans="1:27" x14ac:dyDescent="0.25">
      <c r="A13" s="3"/>
      <c r="B13" s="12" t="s">
        <v>19</v>
      </c>
      <c r="C13" s="13" t="s">
        <v>39</v>
      </c>
      <c r="D13" s="14">
        <f>MOD(INT(HEX2DEC(MID($C13,3,10))/32768),2)</f>
        <v>0</v>
      </c>
      <c r="E13" s="15">
        <f>MOD(INT(HEX2DEC(MID($C13,3,10))/16384),2)</f>
        <v>0</v>
      </c>
      <c r="F13" s="15">
        <f>MOD(INT(HEX2DEC(MID($C13,3,10))/8192),2)</f>
        <v>1</v>
      </c>
      <c r="G13" s="15">
        <f>MOD(INT(HEX2DEC(MID($C13,3,10))/4096),2)</f>
        <v>0</v>
      </c>
      <c r="H13" s="15">
        <f>MOD(INT(HEX2DEC(MID($C13,3,10))/2048),2)</f>
        <v>0</v>
      </c>
      <c r="I13" s="15">
        <f>MOD(INT(HEX2DEC(MID($C13,3,10))/1024),2)</f>
        <v>0</v>
      </c>
      <c r="J13" s="15">
        <f>MOD(INT(HEX2DEC(MID($C13,3,10))/512),2)</f>
        <v>0</v>
      </c>
      <c r="K13" s="15">
        <f>MOD(INT(HEX2DEC(MID($C13,3,10))/256),2)</f>
        <v>0</v>
      </c>
      <c r="L13" s="15">
        <f>MOD(INT(HEX2DEC(MID($C13,3,10))/128),2)</f>
        <v>0</v>
      </c>
      <c r="M13" s="15">
        <f>MOD(INT(HEX2DEC(MID($C13,3,10))/64),2)</f>
        <v>0</v>
      </c>
      <c r="N13" s="16">
        <f>MOD(INT(HEX2DEC(MID($C13,3,10))/32),2)</f>
        <v>0</v>
      </c>
      <c r="O13" s="16">
        <f>MOD(INT(HEX2DEC(MID($C13,3,10))/16),2)</f>
        <v>0</v>
      </c>
      <c r="P13" s="16">
        <f>MOD(INT(HEX2DEC(MID($C13,3,10))/8),2)</f>
        <v>0</v>
      </c>
      <c r="Q13" s="17">
        <f>MOD(INT(HEX2DEC(MID($C13,3,10))/4),2)</f>
        <v>0</v>
      </c>
      <c r="R13" s="17">
        <f>MOD(INT(HEX2DEC(MID($C13,3,10))/2),2)</f>
        <v>0</v>
      </c>
      <c r="S13" s="17">
        <f>MOD(INT(HEX2DEC(MID($C13,3,10))/1),2)</f>
        <v>0</v>
      </c>
      <c r="T13" s="18" t="str">
        <f>"0x"&amp;DEC2HEX(INT(HEX2DEC(MID($C13,3,10))/64),3)</f>
        <v>0x080</v>
      </c>
      <c r="U13" s="18" t="str">
        <f>N13&amp;O13&amp;P13</f>
        <v>000</v>
      </c>
      <c r="V13" s="18" t="str">
        <f>Q13&amp;R13&amp;S13</f>
        <v>000</v>
      </c>
      <c r="W13" s="18" t="s">
        <v>14</v>
      </c>
      <c r="X13" s="18" t="s">
        <v>35</v>
      </c>
      <c r="Y13" s="18" t="s">
        <v>15</v>
      </c>
      <c r="Z13" s="18" t="s">
        <v>17</v>
      </c>
      <c r="AA13" s="19" t="s">
        <v>128</v>
      </c>
    </row>
    <row r="14" spans="1:27" x14ac:dyDescent="0.25">
      <c r="A14" s="3" t="s">
        <v>41</v>
      </c>
      <c r="B14" s="4" t="s">
        <v>12</v>
      </c>
      <c r="C14" s="5" t="s">
        <v>42</v>
      </c>
      <c r="D14" s="6">
        <f>MOD(INT(HEX2DEC(MID($C14,3,10))/32768),2)</f>
        <v>0</v>
      </c>
      <c r="E14" s="7">
        <f>MOD(INT(HEX2DEC(MID($C14,3,10))/16384),2)</f>
        <v>0</v>
      </c>
      <c r="F14" s="7">
        <f>MOD(INT(HEX2DEC(MID($C14,3,10))/8192),2)</f>
        <v>0</v>
      </c>
      <c r="G14" s="7">
        <f>MOD(INT(HEX2DEC(MID($C14,3,10))/4096),2)</f>
        <v>0</v>
      </c>
      <c r="H14" s="7">
        <f>MOD(INT(HEX2DEC(MID($C14,3,10))/2048),2)</f>
        <v>0</v>
      </c>
      <c r="I14" s="7">
        <f>MOD(INT(HEX2DEC(MID($C14,3,10))/1024),2)</f>
        <v>0</v>
      </c>
      <c r="J14" s="7">
        <f>MOD(INT(HEX2DEC(MID($C14,3,10))/512),2)</f>
        <v>0</v>
      </c>
      <c r="K14" s="7">
        <f>MOD(INT(HEX2DEC(MID($C14,3,10))/256),2)</f>
        <v>0</v>
      </c>
      <c r="L14" s="7">
        <f>MOD(INT(HEX2DEC(MID($C14,3,10))/128),2)</f>
        <v>0</v>
      </c>
      <c r="M14" s="7">
        <f>MOD(INT(HEX2DEC(MID($C14,3,10))/64),2)</f>
        <v>0</v>
      </c>
      <c r="N14" s="8">
        <f>MOD(INT(HEX2DEC(MID($C14,3,10))/32),2)</f>
        <v>0</v>
      </c>
      <c r="O14" s="8">
        <f>MOD(INT(HEX2DEC(MID($C14,3,10))/16),2)</f>
        <v>1</v>
      </c>
      <c r="P14" s="8">
        <f>MOD(INT(HEX2DEC(MID($C14,3,10))/8),2)</f>
        <v>1</v>
      </c>
      <c r="Q14" s="9">
        <f>MOD(INT(HEX2DEC(MID($C14,3,10))/4),2)</f>
        <v>0</v>
      </c>
      <c r="R14" s="9">
        <f>MOD(INT(HEX2DEC(MID($C14,3,10))/2),2)</f>
        <v>0</v>
      </c>
      <c r="S14" s="9">
        <f>MOD(INT(HEX2DEC(MID($C14,3,10))/1),2)</f>
        <v>0</v>
      </c>
      <c r="T14" s="10" t="str">
        <f>"0x"&amp;DEC2HEX(INT(HEX2DEC(MID($C14,3,10))/64),3)</f>
        <v>0x000</v>
      </c>
      <c r="U14" s="10" t="str">
        <f>N14&amp;O14&amp;P14</f>
        <v>011</v>
      </c>
      <c r="V14" s="10" t="str">
        <f>Q14&amp;R14&amp;S14</f>
        <v>000</v>
      </c>
      <c r="W14" s="10" t="s">
        <v>14</v>
      </c>
      <c r="X14" s="10" t="s">
        <v>15</v>
      </c>
      <c r="Y14" s="10" t="s">
        <v>16</v>
      </c>
      <c r="Z14" s="10" t="s">
        <v>63</v>
      </c>
      <c r="AA14" s="11" t="s">
        <v>129</v>
      </c>
    </row>
    <row r="15" spans="1:27" x14ac:dyDescent="0.25">
      <c r="A15" s="3"/>
      <c r="B15" s="12" t="s">
        <v>19</v>
      </c>
      <c r="C15" s="13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6"/>
      <c r="O15" s="16"/>
      <c r="P15" s="16"/>
      <c r="Q15" s="17"/>
      <c r="R15" s="17"/>
      <c r="S15" s="17"/>
      <c r="T15" s="18"/>
      <c r="U15" s="18"/>
      <c r="V15" s="18"/>
      <c r="W15" s="18"/>
      <c r="X15" s="18"/>
      <c r="Y15" s="18"/>
      <c r="Z15" s="18"/>
      <c r="AA15" s="19"/>
    </row>
    <row r="16" spans="1:27" x14ac:dyDescent="0.25">
      <c r="A16" s="3" t="s">
        <v>45</v>
      </c>
      <c r="B16" s="4" t="s">
        <v>12</v>
      </c>
      <c r="C16" s="5" t="s">
        <v>46</v>
      </c>
      <c r="D16" s="6">
        <f>MOD(INT(HEX2DEC(MID($C16,3,10))/32768),2)</f>
        <v>0</v>
      </c>
      <c r="E16" s="7">
        <f>MOD(INT(HEX2DEC(MID($C16,3,10))/16384),2)</f>
        <v>0</v>
      </c>
      <c r="F16" s="7">
        <f>MOD(INT(HEX2DEC(MID($C16,3,10))/8192),2)</f>
        <v>0</v>
      </c>
      <c r="G16" s="7">
        <f>MOD(INT(HEX2DEC(MID($C16,3,10))/4096),2)</f>
        <v>0</v>
      </c>
      <c r="H16" s="7">
        <f>MOD(INT(HEX2DEC(MID($C16,3,10))/2048),2)</f>
        <v>0</v>
      </c>
      <c r="I16" s="7">
        <f>MOD(INT(HEX2DEC(MID($C16,3,10))/1024),2)</f>
        <v>0</v>
      </c>
      <c r="J16" s="7">
        <f>MOD(INT(HEX2DEC(MID($C16,3,10))/512),2)</f>
        <v>0</v>
      </c>
      <c r="K16" s="7">
        <f>MOD(INT(HEX2DEC(MID($C16,3,10))/256),2)</f>
        <v>0</v>
      </c>
      <c r="L16" s="7">
        <f>MOD(INT(HEX2DEC(MID($C16,3,10))/128),2)</f>
        <v>0</v>
      </c>
      <c r="M16" s="7">
        <f>MOD(INT(HEX2DEC(MID($C16,3,10))/64),2)</f>
        <v>0</v>
      </c>
      <c r="N16" s="8">
        <f>MOD(INT(HEX2DEC(MID($C16,3,10))/32),2)</f>
        <v>0</v>
      </c>
      <c r="O16" s="8">
        <f>MOD(INT(HEX2DEC(MID($C16,3,10))/16),2)</f>
        <v>1</v>
      </c>
      <c r="P16" s="8">
        <f>MOD(INT(HEX2DEC(MID($C16,3,10))/8),2)</f>
        <v>1</v>
      </c>
      <c r="Q16" s="9">
        <f>MOD(INT(HEX2DEC(MID($C16,3,10))/4),2)</f>
        <v>1</v>
      </c>
      <c r="R16" s="9">
        <f>MOD(INT(HEX2DEC(MID($C16,3,10))/2),2)</f>
        <v>0</v>
      </c>
      <c r="S16" s="9">
        <f>MOD(INT(HEX2DEC(MID($C16,3,10))/1),2)</f>
        <v>0</v>
      </c>
      <c r="T16" s="10" t="str">
        <f>"0x"&amp;DEC2HEX(INT(HEX2DEC(MID($C16,3,10))/64),3)</f>
        <v>0x000</v>
      </c>
      <c r="U16" s="10" t="str">
        <f>N16&amp;O16&amp;P16</f>
        <v>011</v>
      </c>
      <c r="V16" s="10" t="str">
        <f>Q16&amp;R16&amp;S16</f>
        <v>100</v>
      </c>
      <c r="W16" s="10" t="s">
        <v>22</v>
      </c>
      <c r="X16" s="10" t="s">
        <v>16</v>
      </c>
      <c r="Y16" s="10" t="s">
        <v>16</v>
      </c>
      <c r="Z16" s="10" t="s">
        <v>63</v>
      </c>
      <c r="AA16" s="11" t="s">
        <v>23</v>
      </c>
    </row>
    <row r="17" spans="1:27" x14ac:dyDescent="0.25">
      <c r="A17" s="3"/>
      <c r="B17" s="12" t="s">
        <v>19</v>
      </c>
      <c r="C17" s="13" t="s">
        <v>47</v>
      </c>
      <c r="D17" s="14">
        <f>MOD(INT(HEX2DEC(MID($C17,3,10))/32768),2)</f>
        <v>0</v>
      </c>
      <c r="E17" s="15">
        <f>MOD(INT(HEX2DEC(MID($C17,3,10))/16384),2)</f>
        <v>0</v>
      </c>
      <c r="F17" s="15">
        <f>MOD(INT(HEX2DEC(MID($C17,3,10))/8192),2)</f>
        <v>1</v>
      </c>
      <c r="G17" s="15">
        <f>MOD(INT(HEX2DEC(MID($C17,3,10))/4096),2)</f>
        <v>0</v>
      </c>
      <c r="H17" s="15">
        <f>MOD(INT(HEX2DEC(MID($C17,3,10))/2048),2)</f>
        <v>0</v>
      </c>
      <c r="I17" s="15">
        <f>MOD(INT(HEX2DEC(MID($C17,3,10))/1024),2)</f>
        <v>0</v>
      </c>
      <c r="J17" s="15">
        <f>MOD(INT(HEX2DEC(MID($C17,3,10))/512),2)</f>
        <v>0</v>
      </c>
      <c r="K17" s="15">
        <f>MOD(INT(HEX2DEC(MID($C17,3,10))/256),2)</f>
        <v>0</v>
      </c>
      <c r="L17" s="15">
        <f>MOD(INT(HEX2DEC(MID($C17,3,10))/128),2)</f>
        <v>1</v>
      </c>
      <c r="M17" s="15">
        <f>MOD(INT(HEX2DEC(MID($C17,3,10))/64),2)</f>
        <v>0</v>
      </c>
      <c r="N17" s="16">
        <f>MOD(INT(HEX2DEC(MID($C17,3,10))/32),2)</f>
        <v>0</v>
      </c>
      <c r="O17" s="16">
        <f>MOD(INT(HEX2DEC(MID($C17,3,10))/16),2)</f>
        <v>0</v>
      </c>
      <c r="P17" s="16">
        <f>MOD(INT(HEX2DEC(MID($C17,3,10))/8),2)</f>
        <v>0</v>
      </c>
      <c r="Q17" s="17">
        <f>MOD(INT(HEX2DEC(MID($C17,3,10))/4),2)</f>
        <v>0</v>
      </c>
      <c r="R17" s="17">
        <f>MOD(INT(HEX2DEC(MID($C17,3,10))/2),2)</f>
        <v>0</v>
      </c>
      <c r="S17" s="17">
        <f>MOD(INT(HEX2DEC(MID($C17,3,10))/1),2)</f>
        <v>0</v>
      </c>
      <c r="T17" s="18" t="str">
        <f>"0x"&amp;DEC2HEX(INT(HEX2DEC(MID($C17,3,10))/64),3)</f>
        <v>0x082</v>
      </c>
      <c r="U17" s="18" t="str">
        <f>N17&amp;O17&amp;P17</f>
        <v>000</v>
      </c>
      <c r="V17" s="18" t="str">
        <f>Q17&amp;R17&amp;S17</f>
        <v>000</v>
      </c>
      <c r="W17" s="18" t="s">
        <v>14</v>
      </c>
      <c r="X17" s="18" t="s">
        <v>130</v>
      </c>
      <c r="Y17" s="18" t="s">
        <v>15</v>
      </c>
      <c r="Z17" s="18" t="s">
        <v>26</v>
      </c>
      <c r="AA17" s="19" t="s">
        <v>131</v>
      </c>
    </row>
    <row r="18" spans="1:27" x14ac:dyDescent="0.25">
      <c r="A18" s="3" t="s">
        <v>49</v>
      </c>
      <c r="B18" s="4" t="s">
        <v>12</v>
      </c>
      <c r="C18" s="5" t="s">
        <v>50</v>
      </c>
      <c r="D18" s="6">
        <f>MOD(INT(HEX2DEC(MID($C18,3,10))/32768),2)</f>
        <v>0</v>
      </c>
      <c r="E18" s="7">
        <f>MOD(INT(HEX2DEC(MID($C18,3,10))/16384),2)</f>
        <v>0</v>
      </c>
      <c r="F18" s="7">
        <f>MOD(INT(HEX2DEC(MID($C18,3,10))/8192),2)</f>
        <v>0</v>
      </c>
      <c r="G18" s="7">
        <f>MOD(INT(HEX2DEC(MID($C18,3,10))/4096),2)</f>
        <v>0</v>
      </c>
      <c r="H18" s="7">
        <f>MOD(INT(HEX2DEC(MID($C18,3,10))/2048),2)</f>
        <v>0</v>
      </c>
      <c r="I18" s="7">
        <f>MOD(INT(HEX2DEC(MID($C18,3,10))/1024),2)</f>
        <v>0</v>
      </c>
      <c r="J18" s="7">
        <f>MOD(INT(HEX2DEC(MID($C18,3,10))/512),2)</f>
        <v>0</v>
      </c>
      <c r="K18" s="7">
        <f>MOD(INT(HEX2DEC(MID($C18,3,10))/256),2)</f>
        <v>0</v>
      </c>
      <c r="L18" s="7">
        <f>MOD(INT(HEX2DEC(MID($C18,3,10))/128),2)</f>
        <v>0</v>
      </c>
      <c r="M18" s="7">
        <f>MOD(INT(HEX2DEC(MID($C18,3,10))/64),2)</f>
        <v>0</v>
      </c>
      <c r="N18" s="8">
        <f>MOD(INT(HEX2DEC(MID($C18,3,10))/32),2)</f>
        <v>1</v>
      </c>
      <c r="O18" s="8">
        <f>MOD(INT(HEX2DEC(MID($C18,3,10))/16),2)</f>
        <v>0</v>
      </c>
      <c r="P18" s="8">
        <f>MOD(INT(HEX2DEC(MID($C18,3,10))/8),2)</f>
        <v>0</v>
      </c>
      <c r="Q18" s="9">
        <f>MOD(INT(HEX2DEC(MID($C18,3,10))/4),2)</f>
        <v>0</v>
      </c>
      <c r="R18" s="9">
        <f>MOD(INT(HEX2DEC(MID($C18,3,10))/2),2)</f>
        <v>0</v>
      </c>
      <c r="S18" s="9">
        <f>MOD(INT(HEX2DEC(MID($C18,3,10))/1),2)</f>
        <v>0</v>
      </c>
      <c r="T18" s="10" t="str">
        <f>"0x"&amp;DEC2HEX(INT(HEX2DEC(MID($C18,3,10))/64),3)</f>
        <v>0x000</v>
      </c>
      <c r="U18" s="10" t="str">
        <f>N18&amp;O18&amp;P18</f>
        <v>100</v>
      </c>
      <c r="V18" s="10" t="str">
        <f>Q18&amp;R18&amp;S18</f>
        <v>000</v>
      </c>
      <c r="W18" s="10" t="s">
        <v>14</v>
      </c>
      <c r="X18" s="10" t="s">
        <v>15</v>
      </c>
      <c r="Y18" s="10" t="s">
        <v>16</v>
      </c>
      <c r="Z18" s="10" t="s">
        <v>132</v>
      </c>
      <c r="AA18" s="11" t="s">
        <v>133</v>
      </c>
    </row>
    <row r="19" spans="1:27" x14ac:dyDescent="0.25">
      <c r="A19" s="3"/>
      <c r="B19" s="12" t="s">
        <v>19</v>
      </c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7"/>
      <c r="R19" s="17"/>
      <c r="S19" s="17"/>
      <c r="T19" s="18"/>
      <c r="U19" s="18"/>
      <c r="V19" s="18"/>
      <c r="W19" s="18"/>
      <c r="X19" s="18"/>
      <c r="Y19" s="18"/>
      <c r="Z19" s="18"/>
      <c r="AA19" s="19"/>
    </row>
    <row r="20" spans="1:27" x14ac:dyDescent="0.25">
      <c r="A20" s="3" t="s">
        <v>53</v>
      </c>
      <c r="B20" s="4" t="s">
        <v>12</v>
      </c>
      <c r="C20" s="5" t="s">
        <v>54</v>
      </c>
      <c r="D20" s="6">
        <f>MOD(INT(HEX2DEC(MID($C20,3,10))/32768),2)</f>
        <v>0</v>
      </c>
      <c r="E20" s="7">
        <f>MOD(INT(HEX2DEC(MID($C20,3,10))/16384),2)</f>
        <v>0</v>
      </c>
      <c r="F20" s="7">
        <f>MOD(INT(HEX2DEC(MID($C20,3,10))/8192),2)</f>
        <v>0</v>
      </c>
      <c r="G20" s="7">
        <f>MOD(INT(HEX2DEC(MID($C20,3,10))/4096),2)</f>
        <v>0</v>
      </c>
      <c r="H20" s="7">
        <f>MOD(INT(HEX2DEC(MID($C20,3,10))/2048),2)</f>
        <v>0</v>
      </c>
      <c r="I20" s="7">
        <f>MOD(INT(HEX2DEC(MID($C20,3,10))/1024),2)</f>
        <v>0</v>
      </c>
      <c r="J20" s="7">
        <f>MOD(INT(HEX2DEC(MID($C20,3,10))/512),2)</f>
        <v>0</v>
      </c>
      <c r="K20" s="7">
        <f>MOD(INT(HEX2DEC(MID($C20,3,10))/256),2)</f>
        <v>0</v>
      </c>
      <c r="L20" s="7">
        <f>MOD(INT(HEX2DEC(MID($C20,3,10))/128),2)</f>
        <v>0</v>
      </c>
      <c r="M20" s="7">
        <f>MOD(INT(HEX2DEC(MID($C20,3,10))/64),2)</f>
        <v>0</v>
      </c>
      <c r="N20" s="8">
        <f>MOD(INT(HEX2DEC(MID($C20,3,10))/32),2)</f>
        <v>1</v>
      </c>
      <c r="O20" s="8">
        <f>MOD(INT(HEX2DEC(MID($C20,3,10))/16),2)</f>
        <v>0</v>
      </c>
      <c r="P20" s="8">
        <f>MOD(INT(HEX2DEC(MID($C20,3,10))/8),2)</f>
        <v>0</v>
      </c>
      <c r="Q20" s="9">
        <f>MOD(INT(HEX2DEC(MID($C20,3,10))/4),2)</f>
        <v>1</v>
      </c>
      <c r="R20" s="9">
        <f>MOD(INT(HEX2DEC(MID($C20,3,10))/2),2)</f>
        <v>0</v>
      </c>
      <c r="S20" s="9">
        <f>MOD(INT(HEX2DEC(MID($C20,3,10))/1),2)</f>
        <v>0</v>
      </c>
      <c r="T20" s="10" t="str">
        <f>"0x"&amp;DEC2HEX(INT(HEX2DEC(MID($C20,3,10))/64),3)</f>
        <v>0x000</v>
      </c>
      <c r="U20" s="10" t="str">
        <f>N20&amp;O20&amp;P20</f>
        <v>100</v>
      </c>
      <c r="V20" s="10" t="str">
        <f>Q20&amp;R20&amp;S20</f>
        <v>100</v>
      </c>
      <c r="W20" s="10" t="s">
        <v>22</v>
      </c>
      <c r="X20" s="10" t="s">
        <v>16</v>
      </c>
      <c r="Y20" s="10" t="s">
        <v>16</v>
      </c>
      <c r="Z20" s="10" t="s">
        <v>132</v>
      </c>
      <c r="AA20" s="11" t="s">
        <v>23</v>
      </c>
    </row>
    <row r="21" spans="1:27" x14ac:dyDescent="0.25">
      <c r="A21" s="3"/>
      <c r="B21" s="12" t="s">
        <v>19</v>
      </c>
      <c r="C21" s="13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6"/>
      <c r="O21" s="16"/>
      <c r="P21" s="16"/>
      <c r="Q21" s="17"/>
      <c r="R21" s="17"/>
      <c r="S21" s="17"/>
      <c r="T21" s="18"/>
      <c r="U21" s="18"/>
      <c r="V21" s="18"/>
      <c r="W21" s="18"/>
      <c r="X21" s="18"/>
      <c r="Y21" s="18"/>
      <c r="Z21" s="18"/>
      <c r="AA21" s="19"/>
    </row>
    <row r="22" spans="1:27" x14ac:dyDescent="0.25">
      <c r="A22" s="3" t="s">
        <v>55</v>
      </c>
      <c r="B22" s="4" t="s">
        <v>12</v>
      </c>
      <c r="C22" s="5" t="s">
        <v>56</v>
      </c>
      <c r="D22" s="6">
        <f>MOD(INT(HEX2DEC(MID($C22,3,10))/32768),2)</f>
        <v>0</v>
      </c>
      <c r="E22" s="7">
        <f>MOD(INT(HEX2DEC(MID($C22,3,10))/16384),2)</f>
        <v>0</v>
      </c>
      <c r="F22" s="7">
        <f>MOD(INT(HEX2DEC(MID($C22,3,10))/8192),2)</f>
        <v>0</v>
      </c>
      <c r="G22" s="7">
        <f>MOD(INT(HEX2DEC(MID($C22,3,10))/4096),2)</f>
        <v>0</v>
      </c>
      <c r="H22" s="7">
        <f>MOD(INT(HEX2DEC(MID($C22,3,10))/2048),2)</f>
        <v>0</v>
      </c>
      <c r="I22" s="7">
        <f>MOD(INT(HEX2DEC(MID($C22,3,10))/1024),2)</f>
        <v>0</v>
      </c>
      <c r="J22" s="7">
        <f>MOD(INT(HEX2DEC(MID($C22,3,10))/512),2)</f>
        <v>0</v>
      </c>
      <c r="K22" s="7">
        <f>MOD(INT(HEX2DEC(MID($C22,3,10))/256),2)</f>
        <v>0</v>
      </c>
      <c r="L22" s="7">
        <f>MOD(INT(HEX2DEC(MID($C22,3,10))/128),2)</f>
        <v>0</v>
      </c>
      <c r="M22" s="7">
        <f>MOD(INT(HEX2DEC(MID($C22,3,10))/64),2)</f>
        <v>0</v>
      </c>
      <c r="N22" s="8">
        <f>MOD(INT(HEX2DEC(MID($C22,3,10))/32),2)</f>
        <v>1</v>
      </c>
      <c r="O22" s="8">
        <f>MOD(INT(HEX2DEC(MID($C22,3,10))/16),2)</f>
        <v>0</v>
      </c>
      <c r="P22" s="8">
        <f>MOD(INT(HEX2DEC(MID($C22,3,10))/8),2)</f>
        <v>1</v>
      </c>
      <c r="Q22" s="9">
        <f>MOD(INT(HEX2DEC(MID($C22,3,10))/4),2)</f>
        <v>0</v>
      </c>
      <c r="R22" s="9">
        <f>MOD(INT(HEX2DEC(MID($C22,3,10))/2),2)</f>
        <v>0</v>
      </c>
      <c r="S22" s="9">
        <f>MOD(INT(HEX2DEC(MID($C22,3,10))/1),2)</f>
        <v>0</v>
      </c>
      <c r="T22" s="10" t="str">
        <f>"0x"&amp;DEC2HEX(INT(HEX2DEC(MID($C22,3,10))/64),3)</f>
        <v>0x000</v>
      </c>
      <c r="U22" s="10" t="str">
        <f>N22&amp;O22&amp;P22</f>
        <v>101</v>
      </c>
      <c r="V22" s="10" t="str">
        <f>Q22&amp;R22&amp;S22</f>
        <v>000</v>
      </c>
      <c r="W22" s="10" t="s">
        <v>14</v>
      </c>
      <c r="X22" s="10" t="s">
        <v>15</v>
      </c>
      <c r="Y22" s="10" t="s">
        <v>16</v>
      </c>
      <c r="Z22" s="10" t="s">
        <v>134</v>
      </c>
      <c r="AA22" s="11" t="s">
        <v>135</v>
      </c>
    </row>
    <row r="23" spans="1:27" x14ac:dyDescent="0.25">
      <c r="A23" s="3"/>
      <c r="B23" s="12" t="s">
        <v>19</v>
      </c>
      <c r="C23" s="13"/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6"/>
      <c r="O23" s="16"/>
      <c r="P23" s="16"/>
      <c r="Q23" s="17"/>
      <c r="R23" s="17"/>
      <c r="S23" s="17"/>
      <c r="T23" s="18"/>
      <c r="U23" s="18"/>
      <c r="V23" s="18"/>
      <c r="W23" s="18"/>
      <c r="X23" s="18"/>
      <c r="Y23" s="18"/>
      <c r="Z23" s="18"/>
      <c r="AA23" s="19"/>
    </row>
    <row r="24" spans="1:27" x14ac:dyDescent="0.25">
      <c r="A24" s="3" t="s">
        <v>59</v>
      </c>
      <c r="B24" s="4" t="s">
        <v>12</v>
      </c>
      <c r="C24" s="5" t="s">
        <v>60</v>
      </c>
      <c r="D24" s="6">
        <f>MOD(INT(HEX2DEC(MID($C24,3,10))/32768),2)</f>
        <v>0</v>
      </c>
      <c r="E24" s="7">
        <f>MOD(INT(HEX2DEC(MID($C24,3,10))/16384),2)</f>
        <v>0</v>
      </c>
      <c r="F24" s="7">
        <f>MOD(INT(HEX2DEC(MID($C24,3,10))/8192),2)</f>
        <v>0</v>
      </c>
      <c r="G24" s="7">
        <f>MOD(INT(HEX2DEC(MID($C24,3,10))/4096),2)</f>
        <v>0</v>
      </c>
      <c r="H24" s="7">
        <f>MOD(INT(HEX2DEC(MID($C24,3,10))/2048),2)</f>
        <v>0</v>
      </c>
      <c r="I24" s="7">
        <f>MOD(INT(HEX2DEC(MID($C24,3,10))/1024),2)</f>
        <v>0</v>
      </c>
      <c r="J24" s="7">
        <f>MOD(INT(HEX2DEC(MID($C24,3,10))/512),2)</f>
        <v>0</v>
      </c>
      <c r="K24" s="7">
        <f>MOD(INT(HEX2DEC(MID($C24,3,10))/256),2)</f>
        <v>0</v>
      </c>
      <c r="L24" s="7">
        <f>MOD(INT(HEX2DEC(MID($C24,3,10))/128),2)</f>
        <v>0</v>
      </c>
      <c r="M24" s="7">
        <f>MOD(INT(HEX2DEC(MID($C24,3,10))/64),2)</f>
        <v>0</v>
      </c>
      <c r="N24" s="8">
        <f>MOD(INT(HEX2DEC(MID($C24,3,10))/32),2)</f>
        <v>1</v>
      </c>
      <c r="O24" s="8">
        <f>MOD(INT(HEX2DEC(MID($C24,3,10))/16),2)</f>
        <v>0</v>
      </c>
      <c r="P24" s="8">
        <f>MOD(INT(HEX2DEC(MID($C24,3,10))/8),2)</f>
        <v>1</v>
      </c>
      <c r="Q24" s="9">
        <f>MOD(INT(HEX2DEC(MID($C24,3,10))/4),2)</f>
        <v>1</v>
      </c>
      <c r="R24" s="9">
        <f>MOD(INT(HEX2DEC(MID($C24,3,10))/2),2)</f>
        <v>0</v>
      </c>
      <c r="S24" s="9">
        <f>MOD(INT(HEX2DEC(MID($C24,3,10))/1),2)</f>
        <v>0</v>
      </c>
      <c r="T24" s="10" t="str">
        <f>"0x"&amp;DEC2HEX(INT(HEX2DEC(MID($C24,3,10))/64),3)</f>
        <v>0x000</v>
      </c>
      <c r="U24" s="10" t="str">
        <f>N24&amp;O24&amp;P24</f>
        <v>101</v>
      </c>
      <c r="V24" s="10" t="str">
        <f>Q24&amp;R24&amp;S24</f>
        <v>100</v>
      </c>
      <c r="W24" s="10" t="s">
        <v>22</v>
      </c>
      <c r="X24" s="10" t="s">
        <v>16</v>
      </c>
      <c r="Y24" s="10" t="s">
        <v>16</v>
      </c>
      <c r="Z24" s="10" t="s">
        <v>134</v>
      </c>
      <c r="AA24" s="11" t="s">
        <v>23</v>
      </c>
    </row>
    <row r="25" spans="1:27" x14ac:dyDescent="0.25">
      <c r="A25" s="3"/>
      <c r="B25" s="12" t="s">
        <v>19</v>
      </c>
      <c r="C25" s="13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6"/>
      <c r="O25" s="16"/>
      <c r="P25" s="16"/>
      <c r="Q25" s="17"/>
      <c r="R25" s="17"/>
      <c r="S25" s="17"/>
      <c r="T25" s="18"/>
      <c r="U25" s="18"/>
      <c r="V25" s="18"/>
      <c r="W25" s="18"/>
      <c r="X25" s="18"/>
      <c r="Y25" s="18"/>
      <c r="Z25" s="18"/>
      <c r="AA25" s="19"/>
    </row>
    <row r="26" spans="1:27" x14ac:dyDescent="0.25">
      <c r="A26" s="3" t="s">
        <v>61</v>
      </c>
      <c r="B26" s="4" t="s">
        <v>12</v>
      </c>
      <c r="C26" s="5" t="s">
        <v>62</v>
      </c>
      <c r="D26" s="6">
        <f>MOD(INT(HEX2DEC(MID($C26,3,10))/32768),2)</f>
        <v>0</v>
      </c>
      <c r="E26" s="7">
        <f>MOD(INT(HEX2DEC(MID($C26,3,10))/16384),2)</f>
        <v>0</v>
      </c>
      <c r="F26" s="7">
        <f>MOD(INT(HEX2DEC(MID($C26,3,10))/8192),2)</f>
        <v>0</v>
      </c>
      <c r="G26" s="7">
        <f>MOD(INT(HEX2DEC(MID($C26,3,10))/4096),2)</f>
        <v>0</v>
      </c>
      <c r="H26" s="7">
        <f>MOD(INT(HEX2DEC(MID($C26,3,10))/2048),2)</f>
        <v>0</v>
      </c>
      <c r="I26" s="7">
        <f>MOD(INT(HEX2DEC(MID($C26,3,10))/1024),2)</f>
        <v>0</v>
      </c>
      <c r="J26" s="7">
        <f>MOD(INT(HEX2DEC(MID($C26,3,10))/512),2)</f>
        <v>0</v>
      </c>
      <c r="K26" s="7">
        <f>MOD(INT(HEX2DEC(MID($C26,3,10))/256),2)</f>
        <v>0</v>
      </c>
      <c r="L26" s="7">
        <f>MOD(INT(HEX2DEC(MID($C26,3,10))/128),2)</f>
        <v>0</v>
      </c>
      <c r="M26" s="7">
        <f>MOD(INT(HEX2DEC(MID($C26,3,10))/64),2)</f>
        <v>0</v>
      </c>
      <c r="N26" s="8">
        <f>MOD(INT(HEX2DEC(MID($C26,3,10))/32),2)</f>
        <v>1</v>
      </c>
      <c r="O26" s="8">
        <f>MOD(INT(HEX2DEC(MID($C26,3,10))/16),2)</f>
        <v>1</v>
      </c>
      <c r="P26" s="8">
        <f>MOD(INT(HEX2DEC(MID($C26,3,10))/8),2)</f>
        <v>0</v>
      </c>
      <c r="Q26" s="9">
        <f>MOD(INT(HEX2DEC(MID($C26,3,10))/4),2)</f>
        <v>0</v>
      </c>
      <c r="R26" s="9">
        <f>MOD(INT(HEX2DEC(MID($C26,3,10))/2),2)</f>
        <v>0</v>
      </c>
      <c r="S26" s="9">
        <f>MOD(INT(HEX2DEC(MID($C26,3,10))/1),2)</f>
        <v>0</v>
      </c>
      <c r="T26" s="10" t="str">
        <f>"0x"&amp;DEC2HEX(INT(HEX2DEC(MID($C26,3,10))/64),3)</f>
        <v>0x000</v>
      </c>
      <c r="U26" s="10" t="str">
        <f>N26&amp;O26&amp;P26</f>
        <v>110</v>
      </c>
      <c r="V26" s="10" t="str">
        <f>Q26&amp;R26&amp;S26</f>
        <v>000</v>
      </c>
      <c r="W26" s="10" t="s">
        <v>14</v>
      </c>
      <c r="X26" s="10" t="s">
        <v>15</v>
      </c>
      <c r="Y26" s="10" t="s">
        <v>16</v>
      </c>
      <c r="Z26" s="10" t="s">
        <v>136</v>
      </c>
      <c r="AA26" s="11" t="s">
        <v>137</v>
      </c>
    </row>
    <row r="27" spans="1:27" x14ac:dyDescent="0.25">
      <c r="A27" s="3"/>
      <c r="B27" s="12" t="s">
        <v>19</v>
      </c>
      <c r="C27" s="13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6"/>
      <c r="O27" s="16"/>
      <c r="P27" s="16"/>
      <c r="Q27" s="17"/>
      <c r="R27" s="17"/>
      <c r="S27" s="17"/>
      <c r="T27" s="18"/>
      <c r="U27" s="18"/>
      <c r="V27" s="18"/>
      <c r="W27" s="18"/>
      <c r="X27" s="18"/>
      <c r="Y27" s="18"/>
      <c r="Z27" s="18"/>
      <c r="AA27" s="19"/>
    </row>
    <row r="28" spans="1:27" x14ac:dyDescent="0.25">
      <c r="A28" s="3" t="s">
        <v>30</v>
      </c>
      <c r="B28" s="4" t="s">
        <v>12</v>
      </c>
      <c r="C28" s="5" t="s">
        <v>31</v>
      </c>
      <c r="D28" s="6">
        <f>MOD(INT(HEX2DEC(MID($C28,3,10))/32768),2)</f>
        <v>0</v>
      </c>
      <c r="E28" s="7">
        <f>MOD(INT(HEX2DEC(MID($C28,3,10))/16384),2)</f>
        <v>0</v>
      </c>
      <c r="F28" s="7">
        <f>MOD(INT(HEX2DEC(MID($C28,3,10))/8192),2)</f>
        <v>0</v>
      </c>
      <c r="G28" s="7">
        <f>MOD(INT(HEX2DEC(MID($C28,3,10))/4096),2)</f>
        <v>0</v>
      </c>
      <c r="H28" s="7">
        <f>MOD(INT(HEX2DEC(MID($C28,3,10))/2048),2)</f>
        <v>0</v>
      </c>
      <c r="I28" s="7">
        <f>MOD(INT(HEX2DEC(MID($C28,3,10))/1024),2)</f>
        <v>0</v>
      </c>
      <c r="J28" s="7">
        <f>MOD(INT(HEX2DEC(MID($C28,3,10))/512),2)</f>
        <v>0</v>
      </c>
      <c r="K28" s="7">
        <f>MOD(INT(HEX2DEC(MID($C28,3,10))/256),2)</f>
        <v>0</v>
      </c>
      <c r="L28" s="7">
        <f>MOD(INT(HEX2DEC(MID($C28,3,10))/128),2)</f>
        <v>0</v>
      </c>
      <c r="M28" s="7">
        <f>MOD(INT(HEX2DEC(MID($C28,3,10))/64),2)</f>
        <v>0</v>
      </c>
      <c r="N28" s="8">
        <f>MOD(INT(HEX2DEC(MID($C28,3,10))/32),2)</f>
        <v>0</v>
      </c>
      <c r="O28" s="8">
        <f>MOD(INT(HEX2DEC(MID($C28,3,10))/16),2)</f>
        <v>1</v>
      </c>
      <c r="P28" s="8">
        <f>MOD(INT(HEX2DEC(MID($C28,3,10))/8),2)</f>
        <v>0</v>
      </c>
      <c r="Q28" s="9">
        <f>MOD(INT(HEX2DEC(MID($C28,3,10))/4),2)</f>
        <v>0</v>
      </c>
      <c r="R28" s="9">
        <f>MOD(INT(HEX2DEC(MID($C28,3,10))/2),2)</f>
        <v>0</v>
      </c>
      <c r="S28" s="9">
        <f>MOD(INT(HEX2DEC(MID($C28,3,10))/1),2)</f>
        <v>0</v>
      </c>
      <c r="T28" s="10" t="str">
        <f>"0x"&amp;DEC2HEX(INT(HEX2DEC(MID($C28,3,10))/64),3)</f>
        <v>0x000</v>
      </c>
      <c r="U28" s="10" t="str">
        <f>N28&amp;O28&amp;P28</f>
        <v>010</v>
      </c>
      <c r="V28" s="10" t="str">
        <f>Q28&amp;R28&amp;S28</f>
        <v>000</v>
      </c>
      <c r="W28" s="10" t="s">
        <v>22</v>
      </c>
      <c r="X28" s="10" t="s">
        <v>16</v>
      </c>
      <c r="Y28" s="10" t="s">
        <v>16</v>
      </c>
      <c r="Z28" s="10" t="s">
        <v>51</v>
      </c>
      <c r="AA28" s="11" t="s">
        <v>23</v>
      </c>
    </row>
    <row r="29" spans="1:27" x14ac:dyDescent="0.25">
      <c r="A29" s="3"/>
      <c r="B29" s="12" t="s">
        <v>19</v>
      </c>
      <c r="C29" s="13" t="s">
        <v>65</v>
      </c>
      <c r="D29" s="14">
        <f>MOD(INT(HEX2DEC(MID($C29,3,10))/32768),2)</f>
        <v>0</v>
      </c>
      <c r="E29" s="15">
        <f>MOD(INT(HEX2DEC(MID($C29,3,10))/16384),2)</f>
        <v>0</v>
      </c>
      <c r="F29" s="15">
        <f>MOD(INT(HEX2DEC(MID($C29,3,10))/8192),2)</f>
        <v>0</v>
      </c>
      <c r="G29" s="15">
        <f>MOD(INT(HEX2DEC(MID($C29,3,10))/4096),2)</f>
        <v>1</v>
      </c>
      <c r="H29" s="15">
        <f>MOD(INT(HEX2DEC(MID($C29,3,10))/2048),2)</f>
        <v>0</v>
      </c>
      <c r="I29" s="15">
        <f>MOD(INT(HEX2DEC(MID($C29,3,10))/1024),2)</f>
        <v>0</v>
      </c>
      <c r="J29" s="15">
        <f>MOD(INT(HEX2DEC(MID($C29,3,10))/512),2)</f>
        <v>0</v>
      </c>
      <c r="K29" s="15">
        <f>MOD(INT(HEX2DEC(MID($C29,3,10))/256),2)</f>
        <v>0</v>
      </c>
      <c r="L29" s="15">
        <f>MOD(INT(HEX2DEC(MID($C29,3,10))/128),2)</f>
        <v>0</v>
      </c>
      <c r="M29" s="15">
        <f>MOD(INT(HEX2DEC(MID($C29,3,10))/64),2)</f>
        <v>0</v>
      </c>
      <c r="N29" s="16">
        <f>MOD(INT(HEX2DEC(MID($C29,3,10))/32),2)</f>
        <v>0</v>
      </c>
      <c r="O29" s="16">
        <f>MOD(INT(HEX2DEC(MID($C29,3,10))/16),2)</f>
        <v>0</v>
      </c>
      <c r="P29" s="16">
        <f>MOD(INT(HEX2DEC(MID($C29,3,10))/8),2)</f>
        <v>0</v>
      </c>
      <c r="Q29" s="17">
        <f>MOD(INT(HEX2DEC(MID($C29,3,10))/4),2)</f>
        <v>1</v>
      </c>
      <c r="R29" s="17">
        <f>MOD(INT(HEX2DEC(MID($C29,3,10))/2),2)</f>
        <v>0</v>
      </c>
      <c r="S29" s="17">
        <f>MOD(INT(HEX2DEC(MID($C29,3,10))/1),2)</f>
        <v>0</v>
      </c>
      <c r="T29" s="18" t="str">
        <f>"0x"&amp;DEC2HEX(INT(HEX2DEC(MID($C29,3,10))/64),3)</f>
        <v>0x040</v>
      </c>
      <c r="U29" s="18" t="str">
        <f>N29&amp;O29&amp;P29</f>
        <v>000</v>
      </c>
      <c r="V29" s="18" t="str">
        <f>Q29&amp;R29&amp;S29</f>
        <v>100</v>
      </c>
      <c r="W29" s="18" t="s">
        <v>14</v>
      </c>
      <c r="X29" s="18" t="s">
        <v>35</v>
      </c>
      <c r="Y29" s="18" t="s">
        <v>15</v>
      </c>
      <c r="Z29" s="18" t="s">
        <v>17</v>
      </c>
      <c r="AA29" s="19" t="s">
        <v>138</v>
      </c>
    </row>
    <row r="30" spans="1:27" x14ac:dyDescent="0.25">
      <c r="A30" s="3" t="s">
        <v>37</v>
      </c>
      <c r="B30" s="4" t="s">
        <v>12</v>
      </c>
      <c r="C30" s="5" t="s">
        <v>38</v>
      </c>
      <c r="D30" s="6">
        <f>MOD(INT(HEX2DEC(MID($C30,3,10))/32768),2)</f>
        <v>0</v>
      </c>
      <c r="E30" s="7">
        <f>MOD(INT(HEX2DEC(MID($C30,3,10))/16384),2)</f>
        <v>0</v>
      </c>
      <c r="F30" s="7">
        <f>MOD(INT(HEX2DEC(MID($C30,3,10))/8192),2)</f>
        <v>0</v>
      </c>
      <c r="G30" s="7">
        <f>MOD(INT(HEX2DEC(MID($C30,3,10))/4096),2)</f>
        <v>0</v>
      </c>
      <c r="H30" s="7">
        <f>MOD(INT(HEX2DEC(MID($C30,3,10))/2048),2)</f>
        <v>0</v>
      </c>
      <c r="I30" s="7">
        <f>MOD(INT(HEX2DEC(MID($C30,3,10))/1024),2)</f>
        <v>0</v>
      </c>
      <c r="J30" s="7">
        <f>MOD(INT(HEX2DEC(MID($C30,3,10))/512),2)</f>
        <v>0</v>
      </c>
      <c r="K30" s="7">
        <f>MOD(INT(HEX2DEC(MID($C30,3,10))/256),2)</f>
        <v>0</v>
      </c>
      <c r="L30" s="7">
        <f>MOD(INT(HEX2DEC(MID($C30,3,10))/128),2)</f>
        <v>0</v>
      </c>
      <c r="M30" s="7">
        <f>MOD(INT(HEX2DEC(MID($C30,3,10))/64),2)</f>
        <v>0</v>
      </c>
      <c r="N30" s="8">
        <f>MOD(INT(HEX2DEC(MID($C30,3,10))/32),2)</f>
        <v>0</v>
      </c>
      <c r="O30" s="8">
        <f>MOD(INT(HEX2DEC(MID($C30,3,10))/16),2)</f>
        <v>1</v>
      </c>
      <c r="P30" s="8">
        <f>MOD(INT(HEX2DEC(MID($C30,3,10))/8),2)</f>
        <v>0</v>
      </c>
      <c r="Q30" s="9">
        <f>MOD(INT(HEX2DEC(MID($C30,3,10))/4),2)</f>
        <v>1</v>
      </c>
      <c r="R30" s="9">
        <f>MOD(INT(HEX2DEC(MID($C30,3,10))/2),2)</f>
        <v>0</v>
      </c>
      <c r="S30" s="9">
        <f>MOD(INT(HEX2DEC(MID($C30,3,10))/1),2)</f>
        <v>0</v>
      </c>
      <c r="T30" s="10" t="str">
        <f>"0x"&amp;DEC2HEX(INT(HEX2DEC(MID($C30,3,10))/64),3)</f>
        <v>0x000</v>
      </c>
      <c r="U30" s="10" t="str">
        <f>N30&amp;O30&amp;P30</f>
        <v>010</v>
      </c>
      <c r="V30" s="10" t="str">
        <f>Q30&amp;R30&amp;S30</f>
        <v>100</v>
      </c>
      <c r="W30" s="10" t="s">
        <v>22</v>
      </c>
      <c r="X30" s="10" t="s">
        <v>16</v>
      </c>
      <c r="Y30" s="10" t="s">
        <v>16</v>
      </c>
      <c r="Z30" s="10" t="s">
        <v>51</v>
      </c>
      <c r="AA30" s="11" t="s">
        <v>23</v>
      </c>
    </row>
    <row r="31" spans="1:27" x14ac:dyDescent="0.25">
      <c r="A31" s="3"/>
      <c r="B31" s="12" t="s">
        <v>19</v>
      </c>
      <c r="C31" s="13" t="s">
        <v>68</v>
      </c>
      <c r="D31" s="14">
        <f>MOD(INT(HEX2DEC(MID($C31,3,10))/32768),2)</f>
        <v>0</v>
      </c>
      <c r="E31" s="15">
        <f>MOD(INT(HEX2DEC(MID($C31,3,10))/16384),2)</f>
        <v>0</v>
      </c>
      <c r="F31" s="15">
        <f>MOD(INT(HEX2DEC(MID($C31,3,10))/8192),2)</f>
        <v>1</v>
      </c>
      <c r="G31" s="15">
        <f>MOD(INT(HEX2DEC(MID($C31,3,10))/4096),2)</f>
        <v>0</v>
      </c>
      <c r="H31" s="15">
        <f>MOD(INT(HEX2DEC(MID($C31,3,10))/2048),2)</f>
        <v>0</v>
      </c>
      <c r="I31" s="15">
        <f>MOD(INT(HEX2DEC(MID($C31,3,10))/1024),2)</f>
        <v>0</v>
      </c>
      <c r="J31" s="15">
        <f>MOD(INT(HEX2DEC(MID($C31,3,10))/512),2)</f>
        <v>0</v>
      </c>
      <c r="K31" s="15">
        <f>MOD(INT(HEX2DEC(MID($C31,3,10))/256),2)</f>
        <v>0</v>
      </c>
      <c r="L31" s="15">
        <f>MOD(INT(HEX2DEC(MID($C31,3,10))/128),2)</f>
        <v>0</v>
      </c>
      <c r="M31" s="15">
        <f>MOD(INT(HEX2DEC(MID($C31,3,10))/64),2)</f>
        <v>0</v>
      </c>
      <c r="N31" s="16">
        <f>MOD(INT(HEX2DEC(MID($C31,3,10))/32),2)</f>
        <v>0</v>
      </c>
      <c r="O31" s="16">
        <f>MOD(INT(HEX2DEC(MID($C31,3,10))/16),2)</f>
        <v>0</v>
      </c>
      <c r="P31" s="16">
        <f>MOD(INT(HEX2DEC(MID($C31,3,10))/8),2)</f>
        <v>0</v>
      </c>
      <c r="Q31" s="17">
        <f>MOD(INT(HEX2DEC(MID($C31,3,10))/4),2)</f>
        <v>1</v>
      </c>
      <c r="R31" s="17">
        <f>MOD(INT(HEX2DEC(MID($C31,3,10))/2),2)</f>
        <v>0</v>
      </c>
      <c r="S31" s="17">
        <f>MOD(INT(HEX2DEC(MID($C31,3,10))/1),2)</f>
        <v>0</v>
      </c>
      <c r="T31" s="18" t="str">
        <f>"0x"&amp;DEC2HEX(INT(HEX2DEC(MID($C31,3,10))/64),3)</f>
        <v>0x080</v>
      </c>
      <c r="U31" s="18" t="str">
        <f>N31&amp;O31&amp;P31</f>
        <v>000</v>
      </c>
      <c r="V31" s="18" t="str">
        <f>Q31&amp;R31&amp;S31</f>
        <v>100</v>
      </c>
      <c r="W31" s="18" t="s">
        <v>14</v>
      </c>
      <c r="X31" s="18" t="s">
        <v>130</v>
      </c>
      <c r="Y31" s="18" t="s">
        <v>66</v>
      </c>
      <c r="Z31" s="18" t="s">
        <v>26</v>
      </c>
      <c r="AA31" s="19" t="s">
        <v>139</v>
      </c>
    </row>
    <row r="32" spans="1:27" x14ac:dyDescent="0.25">
      <c r="A32" s="3" t="s">
        <v>41</v>
      </c>
      <c r="B32" s="4" t="s">
        <v>12</v>
      </c>
      <c r="C32" s="5" t="s">
        <v>42</v>
      </c>
      <c r="D32" s="6">
        <f>MOD(INT(HEX2DEC(MID($C32,3,10))/32768),2)</f>
        <v>0</v>
      </c>
      <c r="E32" s="7">
        <f>MOD(INT(HEX2DEC(MID($C32,3,10))/16384),2)</f>
        <v>0</v>
      </c>
      <c r="F32" s="7">
        <f>MOD(INT(HEX2DEC(MID($C32,3,10))/8192),2)</f>
        <v>0</v>
      </c>
      <c r="G32" s="7">
        <f>MOD(INT(HEX2DEC(MID($C32,3,10))/4096),2)</f>
        <v>0</v>
      </c>
      <c r="H32" s="7">
        <f>MOD(INT(HEX2DEC(MID($C32,3,10))/2048),2)</f>
        <v>0</v>
      </c>
      <c r="I32" s="7">
        <f>MOD(INT(HEX2DEC(MID($C32,3,10))/1024),2)</f>
        <v>0</v>
      </c>
      <c r="J32" s="7">
        <f>MOD(INT(HEX2DEC(MID($C32,3,10))/512),2)</f>
        <v>0</v>
      </c>
      <c r="K32" s="7">
        <f>MOD(INT(HEX2DEC(MID($C32,3,10))/256),2)</f>
        <v>0</v>
      </c>
      <c r="L32" s="7">
        <f>MOD(INT(HEX2DEC(MID($C32,3,10))/128),2)</f>
        <v>0</v>
      </c>
      <c r="M32" s="7">
        <f>MOD(INT(HEX2DEC(MID($C32,3,10))/64),2)</f>
        <v>0</v>
      </c>
      <c r="N32" s="8">
        <f>MOD(INT(HEX2DEC(MID($C32,3,10))/32),2)</f>
        <v>0</v>
      </c>
      <c r="O32" s="8">
        <f>MOD(INT(HEX2DEC(MID($C32,3,10))/16),2)</f>
        <v>1</v>
      </c>
      <c r="P32" s="8">
        <f>MOD(INT(HEX2DEC(MID($C32,3,10))/8),2)</f>
        <v>1</v>
      </c>
      <c r="Q32" s="9">
        <f>MOD(INT(HEX2DEC(MID($C32,3,10))/4),2)</f>
        <v>0</v>
      </c>
      <c r="R32" s="9">
        <f>MOD(INT(HEX2DEC(MID($C32,3,10))/2),2)</f>
        <v>0</v>
      </c>
      <c r="S32" s="9">
        <f>MOD(INT(HEX2DEC(MID($C32,3,10))/1),2)</f>
        <v>0</v>
      </c>
      <c r="T32" s="10" t="str">
        <f>"0x"&amp;DEC2HEX(INT(HEX2DEC(MID($C32,3,10))/64),3)</f>
        <v>0x000</v>
      </c>
      <c r="U32" s="10" t="str">
        <f>N32&amp;O32&amp;P32</f>
        <v>011</v>
      </c>
      <c r="V32" s="10" t="str">
        <f>Q32&amp;R32&amp;S32</f>
        <v>000</v>
      </c>
      <c r="W32" s="10" t="s">
        <v>22</v>
      </c>
      <c r="X32" s="10" t="s">
        <v>16</v>
      </c>
      <c r="Y32" s="10" t="s">
        <v>16</v>
      </c>
      <c r="Z32" s="10" t="s">
        <v>63</v>
      </c>
      <c r="AA32" s="11" t="s">
        <v>23</v>
      </c>
    </row>
    <row r="33" spans="1:27" x14ac:dyDescent="0.25">
      <c r="A33" s="3"/>
      <c r="B33" s="12" t="s">
        <v>19</v>
      </c>
      <c r="C33" s="13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6"/>
      <c r="O33" s="16"/>
      <c r="P33" s="16"/>
      <c r="Q33" s="17"/>
      <c r="R33" s="17"/>
      <c r="S33" s="17"/>
      <c r="T33" s="18"/>
      <c r="U33" s="18"/>
      <c r="V33" s="18"/>
      <c r="W33" s="18"/>
      <c r="X33" s="18"/>
      <c r="Y33" s="18"/>
      <c r="Z33" s="18"/>
      <c r="AA33" s="19"/>
    </row>
    <row r="34" spans="1:27" x14ac:dyDescent="0.25">
      <c r="A34" s="3" t="s">
        <v>45</v>
      </c>
      <c r="B34" s="4" t="s">
        <v>12</v>
      </c>
      <c r="C34" s="5" t="s">
        <v>46</v>
      </c>
      <c r="D34" s="6">
        <f>MOD(INT(HEX2DEC(MID($C34,3,10))/32768),2)</f>
        <v>0</v>
      </c>
      <c r="E34" s="7">
        <f>MOD(INT(HEX2DEC(MID($C34,3,10))/16384),2)</f>
        <v>0</v>
      </c>
      <c r="F34" s="7">
        <f>MOD(INT(HEX2DEC(MID($C34,3,10))/8192),2)</f>
        <v>0</v>
      </c>
      <c r="G34" s="7">
        <f>MOD(INT(HEX2DEC(MID($C34,3,10))/4096),2)</f>
        <v>0</v>
      </c>
      <c r="H34" s="7">
        <f>MOD(INT(HEX2DEC(MID($C34,3,10))/2048),2)</f>
        <v>0</v>
      </c>
      <c r="I34" s="7">
        <f>MOD(INT(HEX2DEC(MID($C34,3,10))/1024),2)</f>
        <v>0</v>
      </c>
      <c r="J34" s="7">
        <f>MOD(INT(HEX2DEC(MID($C34,3,10))/512),2)</f>
        <v>0</v>
      </c>
      <c r="K34" s="7">
        <f>MOD(INT(HEX2DEC(MID($C34,3,10))/256),2)</f>
        <v>0</v>
      </c>
      <c r="L34" s="7">
        <f>MOD(INT(HEX2DEC(MID($C34,3,10))/128),2)</f>
        <v>0</v>
      </c>
      <c r="M34" s="7">
        <f>MOD(INT(HEX2DEC(MID($C34,3,10))/64),2)</f>
        <v>0</v>
      </c>
      <c r="N34" s="8">
        <f>MOD(INT(HEX2DEC(MID($C34,3,10))/32),2)</f>
        <v>0</v>
      </c>
      <c r="O34" s="8">
        <f>MOD(INT(HEX2DEC(MID($C34,3,10))/16),2)</f>
        <v>1</v>
      </c>
      <c r="P34" s="8">
        <f>MOD(INT(HEX2DEC(MID($C34,3,10))/8),2)</f>
        <v>1</v>
      </c>
      <c r="Q34" s="9">
        <f>MOD(INT(HEX2DEC(MID($C34,3,10))/4),2)</f>
        <v>1</v>
      </c>
      <c r="R34" s="9">
        <f>MOD(INT(HEX2DEC(MID($C34,3,10))/2),2)</f>
        <v>0</v>
      </c>
      <c r="S34" s="9">
        <f>MOD(INT(HEX2DEC(MID($C34,3,10))/1),2)</f>
        <v>0</v>
      </c>
      <c r="T34" s="10" t="str">
        <f>"0x"&amp;DEC2HEX(INT(HEX2DEC(MID($C34,3,10))/64),3)</f>
        <v>0x000</v>
      </c>
      <c r="U34" s="10" t="str">
        <f>N34&amp;O34&amp;P34</f>
        <v>011</v>
      </c>
      <c r="V34" s="10" t="str">
        <f>Q34&amp;R34&amp;S34</f>
        <v>100</v>
      </c>
      <c r="W34" s="10" t="s">
        <v>22</v>
      </c>
      <c r="X34" s="10" t="s">
        <v>16</v>
      </c>
      <c r="Y34" s="10" t="s">
        <v>16</v>
      </c>
      <c r="Z34" s="10" t="s">
        <v>63</v>
      </c>
      <c r="AA34" s="11" t="s">
        <v>23</v>
      </c>
    </row>
    <row r="35" spans="1:27" x14ac:dyDescent="0.25">
      <c r="A35" s="3"/>
      <c r="B35" s="12" t="s">
        <v>19</v>
      </c>
      <c r="C35" s="13" t="s">
        <v>70</v>
      </c>
      <c r="D35" s="14">
        <f>MOD(INT(HEX2DEC(MID($C35,3,10))/32768),2)</f>
        <v>0</v>
      </c>
      <c r="E35" s="15">
        <f>MOD(INT(HEX2DEC(MID($C35,3,10))/16384),2)</f>
        <v>0</v>
      </c>
      <c r="F35" s="15">
        <f>MOD(INT(HEX2DEC(MID($C35,3,10))/8192),2)</f>
        <v>1</v>
      </c>
      <c r="G35" s="15">
        <f>MOD(INT(HEX2DEC(MID($C35,3,10))/4096),2)</f>
        <v>0</v>
      </c>
      <c r="H35" s="15">
        <f>MOD(INT(HEX2DEC(MID($C35,3,10))/2048),2)</f>
        <v>0</v>
      </c>
      <c r="I35" s="15">
        <f>MOD(INT(HEX2DEC(MID($C35,3,10))/1024),2)</f>
        <v>0</v>
      </c>
      <c r="J35" s="15">
        <f>MOD(INT(HEX2DEC(MID($C35,3,10))/512),2)</f>
        <v>0</v>
      </c>
      <c r="K35" s="15">
        <f>MOD(INT(HEX2DEC(MID($C35,3,10))/256),2)</f>
        <v>0</v>
      </c>
      <c r="L35" s="15">
        <f>MOD(INT(HEX2DEC(MID($C35,3,10))/128),2)</f>
        <v>1</v>
      </c>
      <c r="M35" s="15">
        <f>MOD(INT(HEX2DEC(MID($C35,3,10))/64),2)</f>
        <v>0</v>
      </c>
      <c r="N35" s="16">
        <f>MOD(INT(HEX2DEC(MID($C35,3,10))/32),2)</f>
        <v>0</v>
      </c>
      <c r="O35" s="16">
        <f>MOD(INT(HEX2DEC(MID($C35,3,10))/16),2)</f>
        <v>0</v>
      </c>
      <c r="P35" s="16">
        <f>MOD(INT(HEX2DEC(MID($C35,3,10))/8),2)</f>
        <v>0</v>
      </c>
      <c r="Q35" s="17">
        <f>MOD(INT(HEX2DEC(MID($C35,3,10))/4),2)</f>
        <v>1</v>
      </c>
      <c r="R35" s="17">
        <f>MOD(INT(HEX2DEC(MID($C35,3,10))/2),2)</f>
        <v>0</v>
      </c>
      <c r="S35" s="17">
        <f>MOD(INT(HEX2DEC(MID($C35,3,10))/1),2)</f>
        <v>0</v>
      </c>
      <c r="T35" s="18" t="str">
        <f>"0x"&amp;DEC2HEX(INT(HEX2DEC(MID($C35,3,10))/64),3)</f>
        <v>0x082</v>
      </c>
      <c r="U35" s="18" t="str">
        <f>N35&amp;O35&amp;P35</f>
        <v>000</v>
      </c>
      <c r="V35" s="18" t="str">
        <f>Q35&amp;R35&amp;S35</f>
        <v>100</v>
      </c>
      <c r="W35" s="18" t="s">
        <v>14</v>
      </c>
      <c r="X35" s="18" t="s">
        <v>35</v>
      </c>
      <c r="Y35" s="18" t="s">
        <v>15</v>
      </c>
      <c r="Z35" s="18" t="s">
        <v>17</v>
      </c>
      <c r="AA35" s="19" t="s">
        <v>140</v>
      </c>
    </row>
    <row r="36" spans="1:27" x14ac:dyDescent="0.25">
      <c r="A36" s="3" t="s">
        <v>49</v>
      </c>
      <c r="B36" s="4" t="s">
        <v>12</v>
      </c>
      <c r="C36" s="5" t="s">
        <v>50</v>
      </c>
      <c r="D36" s="6">
        <f>MOD(INT(HEX2DEC(MID($C36,3,10))/32768),2)</f>
        <v>0</v>
      </c>
      <c r="E36" s="7">
        <f>MOD(INT(HEX2DEC(MID($C36,3,10))/16384),2)</f>
        <v>0</v>
      </c>
      <c r="F36" s="7">
        <f>MOD(INT(HEX2DEC(MID($C36,3,10))/8192),2)</f>
        <v>0</v>
      </c>
      <c r="G36" s="7">
        <f>MOD(INT(HEX2DEC(MID($C36,3,10))/4096),2)</f>
        <v>0</v>
      </c>
      <c r="H36" s="7">
        <f>MOD(INT(HEX2DEC(MID($C36,3,10))/2048),2)</f>
        <v>0</v>
      </c>
      <c r="I36" s="7">
        <f>MOD(INT(HEX2DEC(MID($C36,3,10))/1024),2)</f>
        <v>0</v>
      </c>
      <c r="J36" s="7">
        <f>MOD(INT(HEX2DEC(MID($C36,3,10))/512),2)</f>
        <v>0</v>
      </c>
      <c r="K36" s="7">
        <f>MOD(INT(HEX2DEC(MID($C36,3,10))/256),2)</f>
        <v>0</v>
      </c>
      <c r="L36" s="7">
        <f>MOD(INT(HEX2DEC(MID($C36,3,10))/128),2)</f>
        <v>0</v>
      </c>
      <c r="M36" s="7">
        <f>MOD(INT(HEX2DEC(MID($C36,3,10))/64),2)</f>
        <v>0</v>
      </c>
      <c r="N36" s="8">
        <f>MOD(INT(HEX2DEC(MID($C36,3,10))/32),2)</f>
        <v>1</v>
      </c>
      <c r="O36" s="8">
        <f>MOD(INT(HEX2DEC(MID($C36,3,10))/16),2)</f>
        <v>0</v>
      </c>
      <c r="P36" s="8">
        <f>MOD(INT(HEX2DEC(MID($C36,3,10))/8),2)</f>
        <v>0</v>
      </c>
      <c r="Q36" s="9">
        <f>MOD(INT(HEX2DEC(MID($C36,3,10))/4),2)</f>
        <v>0</v>
      </c>
      <c r="R36" s="9">
        <f>MOD(INT(HEX2DEC(MID($C36,3,10))/2),2)</f>
        <v>0</v>
      </c>
      <c r="S36" s="9">
        <f>MOD(INT(HEX2DEC(MID($C36,3,10))/1),2)</f>
        <v>0</v>
      </c>
      <c r="T36" s="10" t="str">
        <f>"0x"&amp;DEC2HEX(INT(HEX2DEC(MID($C36,3,10))/64),3)</f>
        <v>0x000</v>
      </c>
      <c r="U36" s="10" t="str">
        <f>N36&amp;O36&amp;P36</f>
        <v>100</v>
      </c>
      <c r="V36" s="10" t="str">
        <f>Q36&amp;R36&amp;S36</f>
        <v>000</v>
      </c>
      <c r="W36" s="10" t="s">
        <v>22</v>
      </c>
      <c r="X36" s="10" t="s">
        <v>16</v>
      </c>
      <c r="Y36" s="10" t="s">
        <v>16</v>
      </c>
      <c r="Z36" s="10" t="s">
        <v>132</v>
      </c>
      <c r="AA36" s="11" t="s">
        <v>23</v>
      </c>
    </row>
    <row r="37" spans="1:27" x14ac:dyDescent="0.25">
      <c r="A37" s="3"/>
      <c r="B37" s="12" t="s">
        <v>19</v>
      </c>
      <c r="C37" s="13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6"/>
      <c r="O37" s="16"/>
      <c r="P37" s="16"/>
      <c r="Q37" s="17"/>
      <c r="R37" s="17"/>
      <c r="S37" s="17"/>
      <c r="T37" s="18"/>
      <c r="U37" s="18"/>
      <c r="V37" s="18"/>
      <c r="W37" s="18"/>
      <c r="X37" s="18"/>
      <c r="Y37" s="18"/>
      <c r="Z37" s="18"/>
      <c r="AA37" s="19"/>
    </row>
    <row r="38" spans="1:27" x14ac:dyDescent="0.25">
      <c r="A38" s="3" t="s">
        <v>53</v>
      </c>
      <c r="B38" s="4" t="s">
        <v>12</v>
      </c>
      <c r="C38" s="5" t="s">
        <v>54</v>
      </c>
      <c r="D38" s="6">
        <f>MOD(INT(HEX2DEC(MID($C38,3,10))/32768),2)</f>
        <v>0</v>
      </c>
      <c r="E38" s="7">
        <f>MOD(INT(HEX2DEC(MID($C38,3,10))/16384),2)</f>
        <v>0</v>
      </c>
      <c r="F38" s="7">
        <f>MOD(INT(HEX2DEC(MID($C38,3,10))/8192),2)</f>
        <v>0</v>
      </c>
      <c r="G38" s="7">
        <f>MOD(INT(HEX2DEC(MID($C38,3,10))/4096),2)</f>
        <v>0</v>
      </c>
      <c r="H38" s="7">
        <f>MOD(INT(HEX2DEC(MID($C38,3,10))/2048),2)</f>
        <v>0</v>
      </c>
      <c r="I38" s="7">
        <f>MOD(INT(HEX2DEC(MID($C38,3,10))/1024),2)</f>
        <v>0</v>
      </c>
      <c r="J38" s="7">
        <f>MOD(INT(HEX2DEC(MID($C38,3,10))/512),2)</f>
        <v>0</v>
      </c>
      <c r="K38" s="7">
        <f>MOD(INT(HEX2DEC(MID($C38,3,10))/256),2)</f>
        <v>0</v>
      </c>
      <c r="L38" s="7">
        <f>MOD(INT(HEX2DEC(MID($C38,3,10))/128),2)</f>
        <v>0</v>
      </c>
      <c r="M38" s="7">
        <f>MOD(INT(HEX2DEC(MID($C38,3,10))/64),2)</f>
        <v>0</v>
      </c>
      <c r="N38" s="8">
        <f>MOD(INT(HEX2DEC(MID($C38,3,10))/32),2)</f>
        <v>1</v>
      </c>
      <c r="O38" s="8">
        <f>MOD(INT(HEX2DEC(MID($C38,3,10))/16),2)</f>
        <v>0</v>
      </c>
      <c r="P38" s="8">
        <f>MOD(INT(HEX2DEC(MID($C38,3,10))/8),2)</f>
        <v>0</v>
      </c>
      <c r="Q38" s="9">
        <f>MOD(INT(HEX2DEC(MID($C38,3,10))/4),2)</f>
        <v>1</v>
      </c>
      <c r="R38" s="9">
        <f>MOD(INT(HEX2DEC(MID($C38,3,10))/2),2)</f>
        <v>0</v>
      </c>
      <c r="S38" s="9">
        <f>MOD(INT(HEX2DEC(MID($C38,3,10))/1),2)</f>
        <v>0</v>
      </c>
      <c r="T38" s="10" t="str">
        <f>"0x"&amp;DEC2HEX(INT(HEX2DEC(MID($C38,3,10))/64),3)</f>
        <v>0x000</v>
      </c>
      <c r="U38" s="10" t="str">
        <f>N38&amp;O38&amp;P38</f>
        <v>100</v>
      </c>
      <c r="V38" s="10" t="str">
        <f>Q38&amp;R38&amp;S38</f>
        <v>100</v>
      </c>
      <c r="W38" s="10" t="s">
        <v>22</v>
      </c>
      <c r="X38" s="10" t="s">
        <v>16</v>
      </c>
      <c r="Y38" s="10" t="s">
        <v>16</v>
      </c>
      <c r="Z38" s="10" t="s">
        <v>132</v>
      </c>
      <c r="AA38" s="11" t="s">
        <v>23</v>
      </c>
    </row>
    <row r="39" spans="1:27" x14ac:dyDescent="0.25">
      <c r="A39" s="3"/>
      <c r="B39" s="12" t="s">
        <v>19</v>
      </c>
      <c r="C39" s="13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6"/>
      <c r="O39" s="16"/>
      <c r="P39" s="16"/>
      <c r="Q39" s="17"/>
      <c r="R39" s="17"/>
      <c r="S39" s="17"/>
      <c r="T39" s="18"/>
      <c r="U39" s="18"/>
      <c r="V39" s="18"/>
      <c r="W39" s="18"/>
      <c r="X39" s="18"/>
      <c r="Y39" s="18"/>
      <c r="Z39" s="18"/>
      <c r="AA39" s="19"/>
    </row>
    <row r="40" spans="1:27" x14ac:dyDescent="0.25">
      <c r="A40" s="3" t="s">
        <v>55</v>
      </c>
      <c r="B40" s="4" t="s">
        <v>12</v>
      </c>
      <c r="C40" s="5" t="s">
        <v>56</v>
      </c>
      <c r="D40" s="6">
        <f>MOD(INT(HEX2DEC(MID($C40,3,10))/32768),2)</f>
        <v>0</v>
      </c>
      <c r="E40" s="7">
        <f>MOD(INT(HEX2DEC(MID($C40,3,10))/16384),2)</f>
        <v>0</v>
      </c>
      <c r="F40" s="7">
        <f>MOD(INT(HEX2DEC(MID($C40,3,10))/8192),2)</f>
        <v>0</v>
      </c>
      <c r="G40" s="7">
        <f>MOD(INT(HEX2DEC(MID($C40,3,10))/4096),2)</f>
        <v>0</v>
      </c>
      <c r="H40" s="7">
        <f>MOD(INT(HEX2DEC(MID($C40,3,10))/2048),2)</f>
        <v>0</v>
      </c>
      <c r="I40" s="7">
        <f>MOD(INT(HEX2DEC(MID($C40,3,10))/1024),2)</f>
        <v>0</v>
      </c>
      <c r="J40" s="7">
        <f>MOD(INT(HEX2DEC(MID($C40,3,10))/512),2)</f>
        <v>0</v>
      </c>
      <c r="K40" s="7">
        <f>MOD(INT(HEX2DEC(MID($C40,3,10))/256),2)</f>
        <v>0</v>
      </c>
      <c r="L40" s="7">
        <f>MOD(INT(HEX2DEC(MID($C40,3,10))/128),2)</f>
        <v>0</v>
      </c>
      <c r="M40" s="7">
        <f>MOD(INT(HEX2DEC(MID($C40,3,10))/64),2)</f>
        <v>0</v>
      </c>
      <c r="N40" s="8">
        <f>MOD(INT(HEX2DEC(MID($C40,3,10))/32),2)</f>
        <v>1</v>
      </c>
      <c r="O40" s="8">
        <f>MOD(INT(HEX2DEC(MID($C40,3,10))/16),2)</f>
        <v>0</v>
      </c>
      <c r="P40" s="8">
        <f>MOD(INT(HEX2DEC(MID($C40,3,10))/8),2)</f>
        <v>1</v>
      </c>
      <c r="Q40" s="9">
        <f>MOD(INT(HEX2DEC(MID($C40,3,10))/4),2)</f>
        <v>0</v>
      </c>
      <c r="R40" s="9">
        <f>MOD(INT(HEX2DEC(MID($C40,3,10))/2),2)</f>
        <v>0</v>
      </c>
      <c r="S40" s="9">
        <f>MOD(INT(HEX2DEC(MID($C40,3,10))/1),2)</f>
        <v>0</v>
      </c>
      <c r="T40" s="10" t="str">
        <f>"0x"&amp;DEC2HEX(INT(HEX2DEC(MID($C40,3,10))/64),3)</f>
        <v>0x000</v>
      </c>
      <c r="U40" s="10" t="str">
        <f>N40&amp;O40&amp;P40</f>
        <v>101</v>
      </c>
      <c r="V40" s="10" t="str">
        <f>Q40&amp;R40&amp;S40</f>
        <v>000</v>
      </c>
      <c r="W40" s="10" t="s">
        <v>22</v>
      </c>
      <c r="X40" s="10" t="s">
        <v>16</v>
      </c>
      <c r="Y40" s="10" t="s">
        <v>16</v>
      </c>
      <c r="Z40" s="10" t="s">
        <v>134</v>
      </c>
      <c r="AA40" s="11" t="s">
        <v>23</v>
      </c>
    </row>
    <row r="41" spans="1:27" x14ac:dyDescent="0.25">
      <c r="A41" s="3"/>
      <c r="B41" s="12" t="s">
        <v>19</v>
      </c>
      <c r="C41" s="13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6"/>
      <c r="O41" s="16"/>
      <c r="P41" s="16"/>
      <c r="Q41" s="17"/>
      <c r="R41" s="17"/>
      <c r="S41" s="17"/>
      <c r="T41" s="18"/>
      <c r="U41" s="18"/>
      <c r="V41" s="18"/>
      <c r="W41" s="18"/>
      <c r="X41" s="18"/>
      <c r="Y41" s="18"/>
      <c r="Z41" s="18"/>
      <c r="AA41" s="19"/>
    </row>
    <row r="42" spans="1:27" x14ac:dyDescent="0.25">
      <c r="A42" s="3" t="s">
        <v>59</v>
      </c>
      <c r="B42" s="4" t="s">
        <v>12</v>
      </c>
      <c r="C42" s="5" t="s">
        <v>60</v>
      </c>
      <c r="D42" s="6">
        <f>MOD(INT(HEX2DEC(MID($C42,3,10))/32768),2)</f>
        <v>0</v>
      </c>
      <c r="E42" s="7">
        <f>MOD(INT(HEX2DEC(MID($C42,3,10))/16384),2)</f>
        <v>0</v>
      </c>
      <c r="F42" s="7">
        <f>MOD(INT(HEX2DEC(MID($C42,3,10))/8192),2)</f>
        <v>0</v>
      </c>
      <c r="G42" s="7">
        <f>MOD(INT(HEX2DEC(MID($C42,3,10))/4096),2)</f>
        <v>0</v>
      </c>
      <c r="H42" s="7">
        <f>MOD(INT(HEX2DEC(MID($C42,3,10))/2048),2)</f>
        <v>0</v>
      </c>
      <c r="I42" s="7">
        <f>MOD(INT(HEX2DEC(MID($C42,3,10))/1024),2)</f>
        <v>0</v>
      </c>
      <c r="J42" s="7">
        <f>MOD(INT(HEX2DEC(MID($C42,3,10))/512),2)</f>
        <v>0</v>
      </c>
      <c r="K42" s="7">
        <f>MOD(INT(HEX2DEC(MID($C42,3,10))/256),2)</f>
        <v>0</v>
      </c>
      <c r="L42" s="7">
        <f>MOD(INT(HEX2DEC(MID($C42,3,10))/128),2)</f>
        <v>0</v>
      </c>
      <c r="M42" s="7">
        <f>MOD(INT(HEX2DEC(MID($C42,3,10))/64),2)</f>
        <v>0</v>
      </c>
      <c r="N42" s="8">
        <f>MOD(INT(HEX2DEC(MID($C42,3,10))/32),2)</f>
        <v>1</v>
      </c>
      <c r="O42" s="8">
        <f>MOD(INT(HEX2DEC(MID($C42,3,10))/16),2)</f>
        <v>0</v>
      </c>
      <c r="P42" s="8">
        <f>MOD(INT(HEX2DEC(MID($C42,3,10))/8),2)</f>
        <v>1</v>
      </c>
      <c r="Q42" s="9">
        <f>MOD(INT(HEX2DEC(MID($C42,3,10))/4),2)</f>
        <v>1</v>
      </c>
      <c r="R42" s="9">
        <f>MOD(INT(HEX2DEC(MID($C42,3,10))/2),2)</f>
        <v>0</v>
      </c>
      <c r="S42" s="9">
        <f>MOD(INT(HEX2DEC(MID($C42,3,10))/1),2)</f>
        <v>0</v>
      </c>
      <c r="T42" s="10" t="str">
        <f>"0x"&amp;DEC2HEX(INT(HEX2DEC(MID($C42,3,10))/64),3)</f>
        <v>0x000</v>
      </c>
      <c r="U42" s="10" t="str">
        <f>N42&amp;O42&amp;P42</f>
        <v>101</v>
      </c>
      <c r="V42" s="10" t="str">
        <f>Q42&amp;R42&amp;S42</f>
        <v>100</v>
      </c>
      <c r="W42" s="10" t="s">
        <v>22</v>
      </c>
      <c r="X42" s="10" t="s">
        <v>16</v>
      </c>
      <c r="Y42" s="10" t="s">
        <v>16</v>
      </c>
      <c r="Z42" s="10" t="s">
        <v>134</v>
      </c>
      <c r="AA42" s="11" t="s">
        <v>23</v>
      </c>
    </row>
    <row r="43" spans="1:27" x14ac:dyDescent="0.25">
      <c r="A43" s="3"/>
      <c r="B43" s="12" t="s">
        <v>19</v>
      </c>
      <c r="C43" s="13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6"/>
      <c r="O43" s="16"/>
      <c r="P43" s="16"/>
      <c r="Q43" s="17"/>
      <c r="R43" s="17"/>
      <c r="S43" s="17"/>
      <c r="T43" s="18"/>
      <c r="U43" s="18"/>
      <c r="V43" s="18"/>
      <c r="W43" s="18"/>
      <c r="X43" s="18"/>
      <c r="Y43" s="18"/>
      <c r="Z43" s="18"/>
      <c r="AA43" s="19"/>
    </row>
    <row r="44" spans="1:27" x14ac:dyDescent="0.25">
      <c r="A44" s="3" t="s">
        <v>61</v>
      </c>
      <c r="B44" s="4" t="s">
        <v>12</v>
      </c>
      <c r="C44" s="5" t="s">
        <v>62</v>
      </c>
      <c r="D44" s="6">
        <f>MOD(INT(HEX2DEC(MID($C44,3,10))/32768),2)</f>
        <v>0</v>
      </c>
      <c r="E44" s="7">
        <f>MOD(INT(HEX2DEC(MID($C44,3,10))/16384),2)</f>
        <v>0</v>
      </c>
      <c r="F44" s="7">
        <f>MOD(INT(HEX2DEC(MID($C44,3,10))/8192),2)</f>
        <v>0</v>
      </c>
      <c r="G44" s="7">
        <f>MOD(INT(HEX2DEC(MID($C44,3,10))/4096),2)</f>
        <v>0</v>
      </c>
      <c r="H44" s="7">
        <f>MOD(INT(HEX2DEC(MID($C44,3,10))/2048),2)</f>
        <v>0</v>
      </c>
      <c r="I44" s="7">
        <f>MOD(INT(HEX2DEC(MID($C44,3,10))/1024),2)</f>
        <v>0</v>
      </c>
      <c r="J44" s="7">
        <f>MOD(INT(HEX2DEC(MID($C44,3,10))/512),2)</f>
        <v>0</v>
      </c>
      <c r="K44" s="7">
        <f>MOD(INT(HEX2DEC(MID($C44,3,10))/256),2)</f>
        <v>0</v>
      </c>
      <c r="L44" s="7">
        <f>MOD(INT(HEX2DEC(MID($C44,3,10))/128),2)</f>
        <v>0</v>
      </c>
      <c r="M44" s="7">
        <f>MOD(INT(HEX2DEC(MID($C44,3,10))/64),2)</f>
        <v>0</v>
      </c>
      <c r="N44" s="8">
        <f>MOD(INT(HEX2DEC(MID($C44,3,10))/32),2)</f>
        <v>1</v>
      </c>
      <c r="O44" s="8">
        <f>MOD(INT(HEX2DEC(MID($C44,3,10))/16),2)</f>
        <v>1</v>
      </c>
      <c r="P44" s="8">
        <f>MOD(INT(HEX2DEC(MID($C44,3,10))/8),2)</f>
        <v>0</v>
      </c>
      <c r="Q44" s="9">
        <f>MOD(INT(HEX2DEC(MID($C44,3,10))/4),2)</f>
        <v>0</v>
      </c>
      <c r="R44" s="9">
        <f>MOD(INT(HEX2DEC(MID($C44,3,10))/2),2)</f>
        <v>0</v>
      </c>
      <c r="S44" s="9">
        <f>MOD(INT(HEX2DEC(MID($C44,3,10))/1),2)</f>
        <v>0</v>
      </c>
      <c r="T44" s="10" t="str">
        <f>"0x"&amp;DEC2HEX(INT(HEX2DEC(MID($C44,3,10))/64),3)</f>
        <v>0x000</v>
      </c>
      <c r="U44" s="10" t="str">
        <f>N44&amp;O44&amp;P44</f>
        <v>110</v>
      </c>
      <c r="V44" s="10" t="str">
        <f>Q44&amp;R44&amp;S44</f>
        <v>000</v>
      </c>
      <c r="W44" s="10" t="s">
        <v>22</v>
      </c>
      <c r="X44" s="10" t="s">
        <v>16</v>
      </c>
      <c r="Y44" s="10" t="s">
        <v>16</v>
      </c>
      <c r="Z44" s="10" t="s">
        <v>136</v>
      </c>
      <c r="AA44" s="11" t="s">
        <v>23</v>
      </c>
    </row>
    <row r="45" spans="1:27" x14ac:dyDescent="0.25">
      <c r="A45" s="3"/>
      <c r="B45" s="12" t="s">
        <v>19</v>
      </c>
      <c r="C45" s="13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6"/>
      <c r="O45" s="16"/>
      <c r="P45" s="16"/>
      <c r="Q45" s="17"/>
      <c r="R45" s="17"/>
      <c r="S45" s="17"/>
      <c r="T45" s="18"/>
      <c r="U45" s="18"/>
      <c r="V45" s="18"/>
      <c r="W45" s="18"/>
      <c r="X45" s="18"/>
      <c r="Y45" s="18"/>
      <c r="Z45" s="18"/>
      <c r="AA45" s="19"/>
    </row>
    <row r="46" spans="1:27" x14ac:dyDescent="0.25">
      <c r="A46" s="3" t="s">
        <v>72</v>
      </c>
      <c r="B46" s="4" t="s">
        <v>12</v>
      </c>
      <c r="C46" s="5" t="s">
        <v>73</v>
      </c>
      <c r="D46" s="6">
        <f>MOD(INT(HEX2DEC(MID($C46,3,10))/32768),2)</f>
        <v>0</v>
      </c>
      <c r="E46" s="7">
        <f>MOD(INT(HEX2DEC(MID($C46,3,10))/16384),2)</f>
        <v>0</v>
      </c>
      <c r="F46" s="7">
        <f>MOD(INT(HEX2DEC(MID($C46,3,10))/8192),2)</f>
        <v>0</v>
      </c>
      <c r="G46" s="7">
        <f>MOD(INT(HEX2DEC(MID($C46,3,10))/4096),2)</f>
        <v>0</v>
      </c>
      <c r="H46" s="7">
        <f>MOD(INT(HEX2DEC(MID($C46,3,10))/2048),2)</f>
        <v>0</v>
      </c>
      <c r="I46" s="7">
        <f>MOD(INT(HEX2DEC(MID($C46,3,10))/1024),2)</f>
        <v>0</v>
      </c>
      <c r="J46" s="7">
        <f>MOD(INT(HEX2DEC(MID($C46,3,10))/512),2)</f>
        <v>0</v>
      </c>
      <c r="K46" s="7">
        <f>MOD(INT(HEX2DEC(MID($C46,3,10))/256),2)</f>
        <v>0</v>
      </c>
      <c r="L46" s="7">
        <f>MOD(INT(HEX2DEC(MID($C46,3,10))/128),2)</f>
        <v>0</v>
      </c>
      <c r="M46" s="7">
        <f>MOD(INT(HEX2DEC(MID($C46,3,10))/64),2)</f>
        <v>0</v>
      </c>
      <c r="N46" s="8">
        <f>MOD(INT(HEX2DEC(MID($C46,3,10))/32),2)</f>
        <v>1</v>
      </c>
      <c r="O46" s="8">
        <f>MOD(INT(HEX2DEC(MID($C46,3,10))/16),2)</f>
        <v>1</v>
      </c>
      <c r="P46" s="8">
        <f>MOD(INT(HEX2DEC(MID($C46,3,10))/8),2)</f>
        <v>0</v>
      </c>
      <c r="Q46" s="9">
        <f>MOD(INT(HEX2DEC(MID($C46,3,10))/4),2)</f>
        <v>1</v>
      </c>
      <c r="R46" s="9">
        <f>MOD(INT(HEX2DEC(MID($C46,3,10))/2),2)</f>
        <v>0</v>
      </c>
      <c r="S46" s="9">
        <f>MOD(INT(HEX2DEC(MID($C46,3,10))/1),2)</f>
        <v>0</v>
      </c>
      <c r="T46" s="10" t="str">
        <f>"0x"&amp;DEC2HEX(INT(HEX2DEC(MID($C46,3,10))/64),3)</f>
        <v>0x000</v>
      </c>
      <c r="U46" s="10" t="str">
        <f>N46&amp;O46&amp;P46</f>
        <v>110</v>
      </c>
      <c r="V46" s="10" t="str">
        <f>Q46&amp;R46&amp;S46</f>
        <v>100</v>
      </c>
      <c r="W46" s="10" t="s">
        <v>22</v>
      </c>
      <c r="X46" s="10" t="s">
        <v>16</v>
      </c>
      <c r="Y46" s="10" t="s">
        <v>16</v>
      </c>
      <c r="Z46" s="10" t="s">
        <v>136</v>
      </c>
      <c r="AA46" s="11" t="s">
        <v>23</v>
      </c>
    </row>
    <row r="47" spans="1:27" x14ac:dyDescent="0.25">
      <c r="A47" s="3"/>
      <c r="B47" s="12" t="s">
        <v>19</v>
      </c>
      <c r="C47" s="13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6"/>
      <c r="O47" s="16"/>
      <c r="P47" s="16"/>
      <c r="Q47" s="17"/>
      <c r="R47" s="17"/>
      <c r="S47" s="17"/>
      <c r="T47" s="18"/>
      <c r="U47" s="18"/>
      <c r="V47" s="18"/>
      <c r="W47" s="18"/>
      <c r="X47" s="18"/>
      <c r="Y47" s="18"/>
      <c r="Z47" s="18"/>
      <c r="AA47" s="19"/>
    </row>
    <row r="50" spans="1:13" x14ac:dyDescent="0.25">
      <c r="A50" s="20" t="s">
        <v>141</v>
      </c>
      <c r="B50" s="20" t="s">
        <v>74</v>
      </c>
      <c r="C50" s="20" t="s">
        <v>3</v>
      </c>
      <c r="D50" s="20" t="s">
        <v>75</v>
      </c>
      <c r="E50" s="20" t="s">
        <v>76</v>
      </c>
      <c r="F50" s="20" t="s">
        <v>77</v>
      </c>
      <c r="G50" s="20" t="s">
        <v>78</v>
      </c>
      <c r="H50" s="20" t="s">
        <v>79</v>
      </c>
      <c r="I50" s="20" t="s">
        <v>80</v>
      </c>
      <c r="J50" s="20" t="s">
        <v>81</v>
      </c>
      <c r="K50" s="20" t="s">
        <v>82</v>
      </c>
      <c r="L50" s="20" t="s">
        <v>83</v>
      </c>
      <c r="M50" s="20" t="s">
        <v>84</v>
      </c>
    </row>
    <row r="51" spans="1:13" x14ac:dyDescent="0.25">
      <c r="A51" s="23" t="s">
        <v>142</v>
      </c>
      <c r="B51" s="21">
        <v>0</v>
      </c>
      <c r="C51" s="21" t="s">
        <v>143</v>
      </c>
      <c r="D51" s="21">
        <v>1</v>
      </c>
      <c r="E51" s="21">
        <v>1</v>
      </c>
      <c r="F51" s="21" t="s">
        <v>86</v>
      </c>
      <c r="G51" s="21" t="s">
        <v>87</v>
      </c>
      <c r="H51" s="21" t="s">
        <v>88</v>
      </c>
      <c r="I51" s="21" t="s">
        <v>88</v>
      </c>
      <c r="J51" s="21" t="s">
        <v>89</v>
      </c>
      <c r="K51" s="21" t="s">
        <v>90</v>
      </c>
      <c r="L51" s="21" t="s">
        <v>88</v>
      </c>
      <c r="M51" s="21" t="s">
        <v>88</v>
      </c>
    </row>
    <row r="52" spans="1:13" x14ac:dyDescent="0.25">
      <c r="A52" s="23"/>
      <c r="B52" s="21">
        <v>1</v>
      </c>
      <c r="C52" s="21" t="s">
        <v>144</v>
      </c>
      <c r="D52" s="21">
        <v>0</v>
      </c>
      <c r="E52" s="21">
        <v>1</v>
      </c>
      <c r="F52" s="21" t="s">
        <v>88</v>
      </c>
      <c r="G52" s="21" t="s">
        <v>87</v>
      </c>
      <c r="H52" s="21" t="s">
        <v>88</v>
      </c>
      <c r="I52" s="21" t="s">
        <v>88</v>
      </c>
      <c r="J52" s="21" t="s">
        <v>88</v>
      </c>
      <c r="K52" s="21" t="s">
        <v>90</v>
      </c>
      <c r="L52" s="21" t="s">
        <v>88</v>
      </c>
      <c r="M52" s="21" t="s">
        <v>88</v>
      </c>
    </row>
    <row r="53" spans="1:13" x14ac:dyDescent="0.25">
      <c r="A53" s="23" t="s">
        <v>145</v>
      </c>
      <c r="B53" s="21">
        <v>2</v>
      </c>
      <c r="C53" s="21" t="s">
        <v>91</v>
      </c>
      <c r="D53" s="21">
        <v>0</v>
      </c>
      <c r="E53" s="21">
        <v>1</v>
      </c>
      <c r="F53" s="21" t="s">
        <v>92</v>
      </c>
      <c r="G53" s="21"/>
      <c r="H53" s="21"/>
      <c r="I53" s="21"/>
      <c r="J53" s="21" t="s">
        <v>93</v>
      </c>
      <c r="K53" s="21"/>
      <c r="L53" s="21"/>
      <c r="M53" s="21"/>
    </row>
    <row r="54" spans="1:13" x14ac:dyDescent="0.25">
      <c r="A54" s="23"/>
      <c r="B54" s="21">
        <v>3</v>
      </c>
      <c r="C54" s="21"/>
      <c r="D54" s="21"/>
      <c r="E54" s="21">
        <v>0</v>
      </c>
      <c r="F54" s="21"/>
      <c r="G54" s="21"/>
      <c r="H54" s="21"/>
      <c r="I54" s="21"/>
      <c r="J54" s="21"/>
      <c r="K54" s="21"/>
      <c r="L54" s="21"/>
      <c r="M54" s="21"/>
    </row>
    <row r="55" spans="1:13" x14ac:dyDescent="0.25">
      <c r="A55" s="23" t="s">
        <v>146</v>
      </c>
      <c r="B55" s="21">
        <v>4</v>
      </c>
      <c r="C55" s="21" t="s">
        <v>91</v>
      </c>
      <c r="D55" s="21">
        <v>0</v>
      </c>
      <c r="E55" s="21">
        <v>1</v>
      </c>
      <c r="F55" s="21" t="s">
        <v>94</v>
      </c>
      <c r="G55" s="21"/>
      <c r="H55" s="21"/>
      <c r="I55" s="21"/>
      <c r="J55" s="21" t="s">
        <v>95</v>
      </c>
      <c r="K55" s="21"/>
      <c r="L55" s="21"/>
      <c r="M55" s="21"/>
    </row>
    <row r="56" spans="1:13" x14ac:dyDescent="0.25">
      <c r="A56" s="23"/>
      <c r="B56" s="21">
        <v>5</v>
      </c>
      <c r="C56" s="21"/>
      <c r="D56" s="21"/>
      <c r="E56" s="21">
        <v>0</v>
      </c>
      <c r="F56" s="21"/>
      <c r="G56" s="21"/>
      <c r="H56" s="21"/>
      <c r="I56" s="21"/>
      <c r="J56" s="21"/>
      <c r="K56" s="21"/>
      <c r="L56" s="21"/>
      <c r="M56" s="21"/>
    </row>
    <row r="57" spans="1:13" x14ac:dyDescent="0.25">
      <c r="A57" s="23" t="s">
        <v>147</v>
      </c>
      <c r="B57" s="21">
        <v>6</v>
      </c>
      <c r="C57" s="21" t="s">
        <v>91</v>
      </c>
      <c r="D57" s="21">
        <v>0</v>
      </c>
      <c r="E57" s="21">
        <v>1</v>
      </c>
      <c r="F57" s="21" t="s">
        <v>96</v>
      </c>
      <c r="G57" s="21"/>
      <c r="H57" s="21"/>
      <c r="I57" s="21"/>
      <c r="J57" s="21" t="s">
        <v>97</v>
      </c>
      <c r="K57" s="21"/>
      <c r="L57" s="21"/>
      <c r="M57" s="21"/>
    </row>
    <row r="58" spans="1:13" x14ac:dyDescent="0.25">
      <c r="A58" s="23"/>
      <c r="B58" s="21">
        <v>7</v>
      </c>
      <c r="C58" s="21"/>
      <c r="D58" s="21"/>
      <c r="E58" s="21">
        <v>0</v>
      </c>
      <c r="F58" s="21"/>
      <c r="G58" s="21"/>
      <c r="H58" s="21"/>
      <c r="I58" s="21"/>
      <c r="J58" s="21"/>
      <c r="K58" s="21"/>
      <c r="L58" s="21"/>
      <c r="M58" s="21"/>
    </row>
    <row r="59" spans="1:13" x14ac:dyDescent="0.25">
      <c r="A59" s="23" t="s">
        <v>148</v>
      </c>
      <c r="B59" s="21">
        <v>8</v>
      </c>
      <c r="C59" s="21" t="s">
        <v>91</v>
      </c>
      <c r="D59" s="21">
        <v>0</v>
      </c>
      <c r="E59" s="21">
        <v>1</v>
      </c>
      <c r="F59" s="21" t="s">
        <v>98</v>
      </c>
      <c r="G59" s="21"/>
      <c r="H59" s="21"/>
      <c r="I59" s="21"/>
      <c r="J59" s="21" t="s">
        <v>99</v>
      </c>
      <c r="K59" s="21"/>
      <c r="L59" s="21"/>
      <c r="M59" s="21"/>
    </row>
    <row r="60" spans="1:13" x14ac:dyDescent="0.25">
      <c r="A60" s="23"/>
      <c r="B60" s="21">
        <v>9</v>
      </c>
      <c r="C60" s="21"/>
      <c r="D60" s="21"/>
      <c r="E60" s="21">
        <v>0</v>
      </c>
      <c r="F60" s="21"/>
      <c r="G60" s="21"/>
      <c r="H60" s="21"/>
      <c r="I60" s="21"/>
      <c r="J60" s="21"/>
      <c r="K60" s="21"/>
      <c r="L60" s="21"/>
      <c r="M60" s="21"/>
    </row>
    <row r="61" spans="1:13" x14ac:dyDescent="0.25">
      <c r="A61" s="23" t="s">
        <v>149</v>
      </c>
      <c r="B61" s="21" t="s">
        <v>104</v>
      </c>
      <c r="C61" s="21" t="s">
        <v>91</v>
      </c>
      <c r="D61" s="21">
        <v>0</v>
      </c>
      <c r="E61" s="21">
        <v>1</v>
      </c>
      <c r="F61" s="21" t="s">
        <v>100</v>
      </c>
      <c r="G61" s="21"/>
      <c r="H61" s="21"/>
      <c r="I61" s="21"/>
      <c r="J61" s="21" t="s">
        <v>101</v>
      </c>
      <c r="K61" s="21"/>
      <c r="L61" s="21"/>
      <c r="M61" s="21"/>
    </row>
    <row r="62" spans="1:13" x14ac:dyDescent="0.25">
      <c r="A62" s="23"/>
      <c r="B62" s="21" t="s">
        <v>105</v>
      </c>
      <c r="C62" s="21"/>
      <c r="D62" s="21"/>
      <c r="E62" s="21">
        <v>0</v>
      </c>
      <c r="F62" s="21"/>
      <c r="G62" s="21"/>
      <c r="H62" s="21"/>
      <c r="I62" s="21"/>
      <c r="J62" s="21"/>
      <c r="K62" s="21"/>
      <c r="L62" s="21"/>
      <c r="M62" s="21"/>
    </row>
    <row r="63" spans="1:13" x14ac:dyDescent="0.25">
      <c r="A63" s="23" t="s">
        <v>150</v>
      </c>
      <c r="B63" s="21" t="s">
        <v>106</v>
      </c>
      <c r="C63" s="21" t="s">
        <v>91</v>
      </c>
      <c r="D63" s="21">
        <v>0</v>
      </c>
      <c r="E63" s="21">
        <v>1</v>
      </c>
      <c r="F63" s="21" t="s">
        <v>102</v>
      </c>
      <c r="G63" s="21"/>
      <c r="H63" s="21"/>
      <c r="I63" s="21"/>
      <c r="J63" s="21" t="s">
        <v>103</v>
      </c>
      <c r="K63" s="21"/>
      <c r="L63" s="21"/>
      <c r="M63" s="21"/>
    </row>
    <row r="64" spans="1:13" x14ac:dyDescent="0.25">
      <c r="A64" s="23"/>
      <c r="B64" s="21" t="s">
        <v>75</v>
      </c>
      <c r="C64" s="21"/>
      <c r="D64" s="21"/>
      <c r="E64" s="21">
        <v>0</v>
      </c>
      <c r="F64" s="21"/>
      <c r="G64" s="21"/>
      <c r="H64" s="21"/>
      <c r="I64" s="21"/>
      <c r="J64" s="21"/>
      <c r="K64" s="21"/>
      <c r="L64" s="21"/>
      <c r="M64" s="21"/>
    </row>
    <row r="65" spans="1:13" x14ac:dyDescent="0.25">
      <c r="A65" s="23" t="s">
        <v>151</v>
      </c>
      <c r="B65" s="21" t="s">
        <v>107</v>
      </c>
      <c r="C65" s="21"/>
      <c r="D65" s="21"/>
      <c r="E65" s="21">
        <v>0</v>
      </c>
      <c r="F65" s="21"/>
      <c r="G65" s="21"/>
      <c r="H65" s="21"/>
      <c r="I65" s="21"/>
      <c r="J65" s="21"/>
      <c r="K65" s="21"/>
      <c r="L65" s="21"/>
      <c r="M65" s="21"/>
    </row>
    <row r="66" spans="1:13" x14ac:dyDescent="0.25">
      <c r="A66" s="23"/>
      <c r="B66" s="21" t="s">
        <v>108</v>
      </c>
      <c r="C66" s="21"/>
      <c r="D66" s="21"/>
      <c r="E66" s="21">
        <v>0</v>
      </c>
      <c r="F66" s="21"/>
      <c r="G66" s="21"/>
      <c r="H66" s="21"/>
      <c r="I66" s="21"/>
      <c r="J66" s="21"/>
      <c r="K66" s="21"/>
      <c r="L66" s="21"/>
      <c r="M66" s="21"/>
    </row>
    <row r="69" spans="1:3" x14ac:dyDescent="0.25">
      <c r="A69" s="20" t="s">
        <v>109</v>
      </c>
      <c r="B69" s="20" t="s">
        <v>110</v>
      </c>
      <c r="C69" s="20" t="s">
        <v>111</v>
      </c>
    </row>
    <row r="70" spans="1:3" x14ac:dyDescent="0.25">
      <c r="A70" s="22" t="s">
        <v>112</v>
      </c>
      <c r="B70" s="22" t="s">
        <v>113</v>
      </c>
      <c r="C70" s="22">
        <v>4104</v>
      </c>
    </row>
    <row r="71" spans="1:3" x14ac:dyDescent="0.25">
      <c r="A71" s="22" t="s">
        <v>114</v>
      </c>
      <c r="B71" s="22" t="s">
        <v>115</v>
      </c>
      <c r="C71" s="22">
        <v>8200</v>
      </c>
    </row>
    <row r="72" spans="1:3" x14ac:dyDescent="0.25">
      <c r="A72" s="22" t="s">
        <v>116</v>
      </c>
      <c r="B72" s="22" t="s">
        <v>117</v>
      </c>
      <c r="C72" s="22">
        <v>8328</v>
      </c>
    </row>
    <row r="73" spans="1:3" x14ac:dyDescent="0.25">
      <c r="A73" s="22" t="s">
        <v>118</v>
      </c>
      <c r="B73" s="22" t="s">
        <v>13</v>
      </c>
      <c r="C73" s="22">
        <v>0</v>
      </c>
    </row>
    <row r="74" spans="1:3" x14ac:dyDescent="0.25">
      <c r="A74" s="22" t="s">
        <v>119</v>
      </c>
      <c r="B74" s="22" t="s">
        <v>120</v>
      </c>
      <c r="C74" s="22">
        <v>34</v>
      </c>
    </row>
    <row r="75" spans="1:3" x14ac:dyDescent="0.25">
      <c r="A75" s="22" t="s">
        <v>121</v>
      </c>
      <c r="B75" s="22" t="s">
        <v>122</v>
      </c>
      <c r="C75" s="22">
        <v>512</v>
      </c>
    </row>
    <row r="76" spans="1:3" x14ac:dyDescent="0.25">
      <c r="A76" s="22" t="s">
        <v>123</v>
      </c>
      <c r="B76" s="22" t="s">
        <v>124</v>
      </c>
      <c r="C76" s="22">
        <v>546</v>
      </c>
    </row>
  </sheetData>
  <mergeCells count="43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51:A52"/>
    <mergeCell ref="F53:I53"/>
    <mergeCell ref="J53:M53"/>
    <mergeCell ref="A53:A54"/>
    <mergeCell ref="F55:I55"/>
    <mergeCell ref="J55:M55"/>
    <mergeCell ref="A55:A56"/>
    <mergeCell ref="F57:I57"/>
    <mergeCell ref="J57:M57"/>
    <mergeCell ref="A57:A58"/>
    <mergeCell ref="F59:I59"/>
    <mergeCell ref="J59:M59"/>
    <mergeCell ref="A59:A60"/>
    <mergeCell ref="F61:I61"/>
    <mergeCell ref="J61:M61"/>
    <mergeCell ref="A61:A62"/>
    <mergeCell ref="F63:I63"/>
    <mergeCell ref="J63:M63"/>
    <mergeCell ref="A63:A64"/>
    <mergeCell ref="A65:A6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10" customWidth="1"/>
    <col min="4" max="19" width="4.3" customWidth="1"/>
    <col min="20" max="20" width="9.5" customWidth="1"/>
    <col min="23" max="23" width="10" customWidth="1"/>
    <col min="24" max="24" width="11" customWidth="1"/>
    <col min="25" max="25" width="6" customWidth="1"/>
    <col min="26" max="26" width="8" customWidth="1"/>
    <col min="27" max="27" width="9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2">
        <v>15</v>
      </c>
      <c r="E1" s="2">
        <v>14</v>
      </c>
      <c r="F1" s="2">
        <v>13</v>
      </c>
      <c r="G1" s="2">
        <v>12</v>
      </c>
      <c r="H1" s="2">
        <v>11</v>
      </c>
      <c r="I1" s="2">
        <v>10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T1" s="1" t="s">
        <v>3</v>
      </c>
      <c r="U1" s="1" t="s">
        <v>152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</row>
    <row r="2" spans="1:27" x14ac:dyDescent="0.25">
      <c r="A2" s="3" t="s">
        <v>11</v>
      </c>
      <c r="B2" s="4" t="s">
        <v>12</v>
      </c>
      <c r="C2" s="5" t="s">
        <v>13</v>
      </c>
      <c r="D2" s="6">
        <f>MOD(INT(HEX2DEC(MID($C2,3,10))/32768),2)</f>
        <v>0</v>
      </c>
      <c r="E2" s="7">
        <f>MOD(INT(HEX2DEC(MID($C2,3,10))/16384),2)</f>
        <v>0</v>
      </c>
      <c r="F2" s="7">
        <f>MOD(INT(HEX2DEC(MID($C2,3,10))/8192),2)</f>
        <v>0</v>
      </c>
      <c r="G2" s="7">
        <f>MOD(INT(HEX2DEC(MID($C2,3,10))/4096),2)</f>
        <v>0</v>
      </c>
      <c r="H2" s="7">
        <f>MOD(INT(HEX2DEC(MID($C2,3,10))/2048),2)</f>
        <v>0</v>
      </c>
      <c r="I2" s="7">
        <f>MOD(INT(HEX2DEC(MID($C2,3,10))/1024),2)</f>
        <v>0</v>
      </c>
      <c r="J2" s="7">
        <f>MOD(INT(HEX2DEC(MID($C2,3,10))/512),2)</f>
        <v>0</v>
      </c>
      <c r="K2" s="7">
        <f>MOD(INT(HEX2DEC(MID($C2,3,10))/256),2)</f>
        <v>0</v>
      </c>
      <c r="L2" s="7">
        <f>MOD(INT(HEX2DEC(MID($C2,3,10))/128),2)</f>
        <v>0</v>
      </c>
      <c r="M2" s="7">
        <f>MOD(INT(HEX2DEC(MID($C2,3,10))/64),2)</f>
        <v>0</v>
      </c>
      <c r="N2" s="7">
        <f>MOD(INT(HEX2DEC(MID($C2,3,10))/32),2)</f>
        <v>0</v>
      </c>
      <c r="O2" s="8">
        <f>MOD(INT(HEX2DEC(MID($C2,3,10))/16),2)</f>
        <v>0</v>
      </c>
      <c r="P2" s="8">
        <f>MOD(INT(HEX2DEC(MID($C2,3,10))/8),2)</f>
        <v>0</v>
      </c>
      <c r="Q2" s="9">
        <f>MOD(INT(HEX2DEC(MID($C2,3,10))/4),2)</f>
        <v>0</v>
      </c>
      <c r="R2" s="9">
        <f>MOD(INT(HEX2DEC(MID($C2,3,10))/2),2)</f>
        <v>0</v>
      </c>
      <c r="S2" s="9">
        <f>MOD(INT(HEX2DEC(MID($C2,3,10))/1),2)</f>
        <v>0</v>
      </c>
      <c r="T2" s="10" t="str">
        <f>"0x"&amp;DEC2HEX(INT(HEX2DEC(MID($C2,3,10))/32),3)</f>
        <v>0x000</v>
      </c>
      <c r="U2" s="10" t="str">
        <f>O2&amp;P2</f>
        <v>00</v>
      </c>
      <c r="V2" s="10" t="str">
        <f>Q2&amp;R2&amp;S2</f>
        <v>000</v>
      </c>
      <c r="W2" s="10" t="s">
        <v>14</v>
      </c>
      <c r="X2" s="10" t="s">
        <v>15</v>
      </c>
      <c r="Y2" s="10" t="s">
        <v>16</v>
      </c>
      <c r="Z2" s="10" t="s">
        <v>17</v>
      </c>
      <c r="AA2" s="11" t="s">
        <v>18</v>
      </c>
    </row>
    <row r="3" spans="1:27" x14ac:dyDescent="0.25">
      <c r="A3" s="3"/>
      <c r="B3" s="12" t="s">
        <v>19</v>
      </c>
      <c r="C3" s="13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16"/>
      <c r="Q3" s="17"/>
      <c r="R3" s="17"/>
      <c r="S3" s="17"/>
      <c r="T3" s="18"/>
      <c r="U3" s="18"/>
      <c r="V3" s="18"/>
      <c r="W3" s="18"/>
      <c r="X3" s="18"/>
      <c r="Y3" s="18"/>
      <c r="Z3" s="18"/>
      <c r="AA3" s="19"/>
    </row>
    <row r="4" spans="1:27" x14ac:dyDescent="0.25">
      <c r="A4" s="3" t="s">
        <v>20</v>
      </c>
      <c r="B4" s="4" t="s">
        <v>12</v>
      </c>
      <c r="C4" s="5" t="s">
        <v>21</v>
      </c>
      <c r="D4" s="6">
        <f>MOD(INT(HEX2DEC(MID($C4,3,10))/32768),2)</f>
        <v>0</v>
      </c>
      <c r="E4" s="7">
        <f>MOD(INT(HEX2DEC(MID($C4,3,10))/16384),2)</f>
        <v>0</v>
      </c>
      <c r="F4" s="7">
        <f>MOD(INT(HEX2DEC(MID($C4,3,10))/8192),2)</f>
        <v>0</v>
      </c>
      <c r="G4" s="7">
        <f>MOD(INT(HEX2DEC(MID($C4,3,10))/4096),2)</f>
        <v>0</v>
      </c>
      <c r="H4" s="7">
        <f>MOD(INT(HEX2DEC(MID($C4,3,10))/2048),2)</f>
        <v>0</v>
      </c>
      <c r="I4" s="7">
        <f>MOD(INT(HEX2DEC(MID($C4,3,10))/1024),2)</f>
        <v>0</v>
      </c>
      <c r="J4" s="7">
        <f>MOD(INT(HEX2DEC(MID($C4,3,10))/512),2)</f>
        <v>0</v>
      </c>
      <c r="K4" s="7">
        <f>MOD(INT(HEX2DEC(MID($C4,3,10))/256),2)</f>
        <v>0</v>
      </c>
      <c r="L4" s="7">
        <f>MOD(INT(HEX2DEC(MID($C4,3,10))/128),2)</f>
        <v>0</v>
      </c>
      <c r="M4" s="7">
        <f>MOD(INT(HEX2DEC(MID($C4,3,10))/64),2)</f>
        <v>0</v>
      </c>
      <c r="N4" s="7">
        <f>MOD(INT(HEX2DEC(MID($C4,3,10))/32),2)</f>
        <v>0</v>
      </c>
      <c r="O4" s="8">
        <f>MOD(INT(HEX2DEC(MID($C4,3,10))/16),2)</f>
        <v>0</v>
      </c>
      <c r="P4" s="8">
        <f>MOD(INT(HEX2DEC(MID($C4,3,10))/8),2)</f>
        <v>0</v>
      </c>
      <c r="Q4" s="9">
        <f>MOD(INT(HEX2DEC(MID($C4,3,10))/4),2)</f>
        <v>1</v>
      </c>
      <c r="R4" s="9">
        <f>MOD(INT(HEX2DEC(MID($C4,3,10))/2),2)</f>
        <v>0</v>
      </c>
      <c r="S4" s="9">
        <f>MOD(INT(HEX2DEC(MID($C4,3,10))/1),2)</f>
        <v>0</v>
      </c>
      <c r="T4" s="10" t="str">
        <f>"0x"&amp;DEC2HEX(INT(HEX2DEC(MID($C4,3,10))/32),3)</f>
        <v>0x000</v>
      </c>
      <c r="U4" s="10" t="str">
        <f>O4&amp;P4</f>
        <v>00</v>
      </c>
      <c r="V4" s="10" t="str">
        <f>Q4&amp;R4&amp;S4</f>
        <v>100</v>
      </c>
      <c r="W4" s="10" t="s">
        <v>22</v>
      </c>
      <c r="X4" s="10" t="s">
        <v>16</v>
      </c>
      <c r="Y4" s="10" t="s">
        <v>16</v>
      </c>
      <c r="Z4" s="10" t="s">
        <v>17</v>
      </c>
      <c r="AA4" s="11" t="s">
        <v>23</v>
      </c>
    </row>
    <row r="5" spans="1:27" x14ac:dyDescent="0.25">
      <c r="A5" s="3"/>
      <c r="B5" s="12" t="s">
        <v>19</v>
      </c>
      <c r="C5" s="13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16"/>
      <c r="Q5" s="17"/>
      <c r="R5" s="17"/>
      <c r="S5" s="17"/>
      <c r="T5" s="18"/>
      <c r="U5" s="18"/>
      <c r="V5" s="18"/>
      <c r="W5" s="18"/>
      <c r="X5" s="18"/>
      <c r="Y5" s="18"/>
      <c r="Z5" s="18"/>
      <c r="AA5" s="19"/>
    </row>
    <row r="6" spans="1:27" x14ac:dyDescent="0.25">
      <c r="A6" s="3" t="s">
        <v>24</v>
      </c>
      <c r="B6" s="4" t="s">
        <v>12</v>
      </c>
      <c r="C6" s="5" t="s">
        <v>25</v>
      </c>
      <c r="D6" s="6">
        <f>MOD(INT(HEX2DEC(MID($C6,3,10))/32768),2)</f>
        <v>0</v>
      </c>
      <c r="E6" s="7">
        <f>MOD(INT(HEX2DEC(MID($C6,3,10))/16384),2)</f>
        <v>0</v>
      </c>
      <c r="F6" s="7">
        <f>MOD(INT(HEX2DEC(MID($C6,3,10))/8192),2)</f>
        <v>0</v>
      </c>
      <c r="G6" s="7">
        <f>MOD(INT(HEX2DEC(MID($C6,3,10))/4096),2)</f>
        <v>0</v>
      </c>
      <c r="H6" s="7">
        <f>MOD(INT(HEX2DEC(MID($C6,3,10))/2048),2)</f>
        <v>0</v>
      </c>
      <c r="I6" s="7">
        <f>MOD(INT(HEX2DEC(MID($C6,3,10))/1024),2)</f>
        <v>0</v>
      </c>
      <c r="J6" s="7">
        <f>MOD(INT(HEX2DEC(MID($C6,3,10))/512),2)</f>
        <v>0</v>
      </c>
      <c r="K6" s="7">
        <f>MOD(INT(HEX2DEC(MID($C6,3,10))/256),2)</f>
        <v>0</v>
      </c>
      <c r="L6" s="7">
        <f>MOD(INT(HEX2DEC(MID($C6,3,10))/128),2)</f>
        <v>0</v>
      </c>
      <c r="M6" s="7">
        <f>MOD(INT(HEX2DEC(MID($C6,3,10))/64),2)</f>
        <v>0</v>
      </c>
      <c r="N6" s="7">
        <f>MOD(INT(HEX2DEC(MID($C6,3,10))/32),2)</f>
        <v>0</v>
      </c>
      <c r="O6" s="8">
        <f>MOD(INT(HEX2DEC(MID($C6,3,10))/16),2)</f>
        <v>0</v>
      </c>
      <c r="P6" s="8">
        <f>MOD(INT(HEX2DEC(MID($C6,3,10))/8),2)</f>
        <v>1</v>
      </c>
      <c r="Q6" s="9">
        <f>MOD(INT(HEX2DEC(MID($C6,3,10))/4),2)</f>
        <v>0</v>
      </c>
      <c r="R6" s="9">
        <f>MOD(INT(HEX2DEC(MID($C6,3,10))/2),2)</f>
        <v>0</v>
      </c>
      <c r="S6" s="9">
        <f>MOD(INT(HEX2DEC(MID($C6,3,10))/1),2)</f>
        <v>0</v>
      </c>
      <c r="T6" s="10" t="str">
        <f>"0x"&amp;DEC2HEX(INT(HEX2DEC(MID($C6,3,10))/32),3)</f>
        <v>0x000</v>
      </c>
      <c r="U6" s="10" t="str">
        <f>O6&amp;P6</f>
        <v>01</v>
      </c>
      <c r="V6" s="10" t="str">
        <f>Q6&amp;R6&amp;S6</f>
        <v>000</v>
      </c>
      <c r="W6" s="10" t="s">
        <v>14</v>
      </c>
      <c r="X6" s="10" t="s">
        <v>15</v>
      </c>
      <c r="Y6" s="10" t="s">
        <v>16</v>
      </c>
      <c r="Z6" s="10" t="s">
        <v>51</v>
      </c>
      <c r="AA6" s="11" t="s">
        <v>153</v>
      </c>
    </row>
    <row r="7" spans="1:27" x14ac:dyDescent="0.25">
      <c r="A7" s="3"/>
      <c r="B7" s="12" t="s">
        <v>19</v>
      </c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6"/>
      <c r="P7" s="16"/>
      <c r="Q7" s="17"/>
      <c r="R7" s="17"/>
      <c r="S7" s="17"/>
      <c r="T7" s="18"/>
      <c r="U7" s="18"/>
      <c r="V7" s="18"/>
      <c r="W7" s="18"/>
      <c r="X7" s="18"/>
      <c r="Y7" s="18"/>
      <c r="Z7" s="18"/>
      <c r="AA7" s="19"/>
    </row>
    <row r="8" spans="1:27" x14ac:dyDescent="0.25">
      <c r="A8" s="3" t="s">
        <v>28</v>
      </c>
      <c r="B8" s="4" t="s">
        <v>12</v>
      </c>
      <c r="C8" s="5" t="s">
        <v>29</v>
      </c>
      <c r="D8" s="6">
        <f>MOD(INT(HEX2DEC(MID($C8,3,10))/32768),2)</f>
        <v>0</v>
      </c>
      <c r="E8" s="7">
        <f>MOD(INT(HEX2DEC(MID($C8,3,10))/16384),2)</f>
        <v>0</v>
      </c>
      <c r="F8" s="7">
        <f>MOD(INT(HEX2DEC(MID($C8,3,10))/8192),2)</f>
        <v>0</v>
      </c>
      <c r="G8" s="7">
        <f>MOD(INT(HEX2DEC(MID($C8,3,10))/4096),2)</f>
        <v>0</v>
      </c>
      <c r="H8" s="7">
        <f>MOD(INT(HEX2DEC(MID($C8,3,10))/2048),2)</f>
        <v>0</v>
      </c>
      <c r="I8" s="7">
        <f>MOD(INT(HEX2DEC(MID($C8,3,10))/1024),2)</f>
        <v>0</v>
      </c>
      <c r="J8" s="7">
        <f>MOD(INT(HEX2DEC(MID($C8,3,10))/512),2)</f>
        <v>0</v>
      </c>
      <c r="K8" s="7">
        <f>MOD(INT(HEX2DEC(MID($C8,3,10))/256),2)</f>
        <v>0</v>
      </c>
      <c r="L8" s="7">
        <f>MOD(INT(HEX2DEC(MID($C8,3,10))/128),2)</f>
        <v>0</v>
      </c>
      <c r="M8" s="7">
        <f>MOD(INT(HEX2DEC(MID($C8,3,10))/64),2)</f>
        <v>0</v>
      </c>
      <c r="N8" s="7">
        <f>MOD(INT(HEX2DEC(MID($C8,3,10))/32),2)</f>
        <v>0</v>
      </c>
      <c r="O8" s="8">
        <f>MOD(INT(HEX2DEC(MID($C8,3,10))/16),2)</f>
        <v>0</v>
      </c>
      <c r="P8" s="8">
        <f>MOD(INT(HEX2DEC(MID($C8,3,10))/8),2)</f>
        <v>1</v>
      </c>
      <c r="Q8" s="9">
        <f>MOD(INT(HEX2DEC(MID($C8,3,10))/4),2)</f>
        <v>1</v>
      </c>
      <c r="R8" s="9">
        <f>MOD(INT(HEX2DEC(MID($C8,3,10))/2),2)</f>
        <v>0</v>
      </c>
      <c r="S8" s="9">
        <f>MOD(INT(HEX2DEC(MID($C8,3,10))/1),2)</f>
        <v>0</v>
      </c>
      <c r="T8" s="10" t="str">
        <f>"0x"&amp;DEC2HEX(INT(HEX2DEC(MID($C8,3,10))/32),3)</f>
        <v>0x000</v>
      </c>
      <c r="U8" s="10" t="str">
        <f>O8&amp;P8</f>
        <v>01</v>
      </c>
      <c r="V8" s="10" t="str">
        <f>Q8&amp;R8&amp;S8</f>
        <v>100</v>
      </c>
      <c r="W8" s="10" t="s">
        <v>22</v>
      </c>
      <c r="X8" s="10" t="s">
        <v>16</v>
      </c>
      <c r="Y8" s="10" t="s">
        <v>16</v>
      </c>
      <c r="Z8" s="10" t="s">
        <v>51</v>
      </c>
      <c r="AA8" s="11" t="s">
        <v>23</v>
      </c>
    </row>
    <row r="9" spans="1:27" x14ac:dyDescent="0.25">
      <c r="A9" s="3"/>
      <c r="B9" s="12" t="s">
        <v>19</v>
      </c>
      <c r="C9" s="13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6"/>
      <c r="P9" s="16"/>
      <c r="Q9" s="17"/>
      <c r="R9" s="17"/>
      <c r="S9" s="17"/>
      <c r="T9" s="18"/>
      <c r="U9" s="18"/>
      <c r="V9" s="18"/>
      <c r="W9" s="18"/>
      <c r="X9" s="18"/>
      <c r="Y9" s="18"/>
      <c r="Z9" s="18"/>
      <c r="AA9" s="19"/>
    </row>
    <row r="10" spans="1:27" x14ac:dyDescent="0.25">
      <c r="A10" s="3" t="s">
        <v>30</v>
      </c>
      <c r="B10" s="4" t="s">
        <v>12</v>
      </c>
      <c r="C10" s="5" t="s">
        <v>31</v>
      </c>
      <c r="D10" s="6">
        <f>MOD(INT(HEX2DEC(MID($C10,3,10))/32768),2)</f>
        <v>0</v>
      </c>
      <c r="E10" s="7">
        <f>MOD(INT(HEX2DEC(MID($C10,3,10))/16384),2)</f>
        <v>0</v>
      </c>
      <c r="F10" s="7">
        <f>MOD(INT(HEX2DEC(MID($C10,3,10))/8192),2)</f>
        <v>0</v>
      </c>
      <c r="G10" s="7">
        <f>MOD(INT(HEX2DEC(MID($C10,3,10))/4096),2)</f>
        <v>0</v>
      </c>
      <c r="H10" s="7">
        <f>MOD(INT(HEX2DEC(MID($C10,3,10))/2048),2)</f>
        <v>0</v>
      </c>
      <c r="I10" s="7">
        <f>MOD(INT(HEX2DEC(MID($C10,3,10))/1024),2)</f>
        <v>0</v>
      </c>
      <c r="J10" s="7">
        <f>MOD(INT(HEX2DEC(MID($C10,3,10))/512),2)</f>
        <v>0</v>
      </c>
      <c r="K10" s="7">
        <f>MOD(INT(HEX2DEC(MID($C10,3,10))/256),2)</f>
        <v>0</v>
      </c>
      <c r="L10" s="7">
        <f>MOD(INT(HEX2DEC(MID($C10,3,10))/128),2)</f>
        <v>0</v>
      </c>
      <c r="M10" s="7">
        <f>MOD(INT(HEX2DEC(MID($C10,3,10))/64),2)</f>
        <v>0</v>
      </c>
      <c r="N10" s="7">
        <f>MOD(INT(HEX2DEC(MID($C10,3,10))/32),2)</f>
        <v>0</v>
      </c>
      <c r="O10" s="8">
        <f>MOD(INT(HEX2DEC(MID($C10,3,10))/16),2)</f>
        <v>1</v>
      </c>
      <c r="P10" s="8">
        <f>MOD(INT(HEX2DEC(MID($C10,3,10))/8),2)</f>
        <v>0</v>
      </c>
      <c r="Q10" s="9">
        <f>MOD(INT(HEX2DEC(MID($C10,3,10))/4),2)</f>
        <v>0</v>
      </c>
      <c r="R10" s="9">
        <f>MOD(INT(HEX2DEC(MID($C10,3,10))/2),2)</f>
        <v>0</v>
      </c>
      <c r="S10" s="9">
        <f>MOD(INT(HEX2DEC(MID($C10,3,10))/1),2)</f>
        <v>0</v>
      </c>
      <c r="T10" s="10" t="str">
        <f>"0x"&amp;DEC2HEX(INT(HEX2DEC(MID($C10,3,10))/32),3)</f>
        <v>0x000</v>
      </c>
      <c r="U10" s="10" t="str">
        <f>O10&amp;P10</f>
        <v>10</v>
      </c>
      <c r="V10" s="10" t="str">
        <f>Q10&amp;R10&amp;S10</f>
        <v>000</v>
      </c>
      <c r="W10" s="10" t="s">
        <v>14</v>
      </c>
      <c r="X10" s="10" t="s">
        <v>15</v>
      </c>
      <c r="Y10" s="10" t="s">
        <v>16</v>
      </c>
      <c r="Z10" s="10" t="s">
        <v>132</v>
      </c>
      <c r="AA10" s="11" t="s">
        <v>154</v>
      </c>
    </row>
    <row r="11" spans="1:27" x14ac:dyDescent="0.25">
      <c r="A11" s="3"/>
      <c r="B11" s="12" t="s">
        <v>19</v>
      </c>
      <c r="C11" s="13" t="s">
        <v>34</v>
      </c>
      <c r="D11" s="14">
        <f>MOD(INT(HEX2DEC(MID($C11,3,10))/32768),2)</f>
        <v>0</v>
      </c>
      <c r="E11" s="15">
        <f>MOD(INT(HEX2DEC(MID($C11,3,10))/16384),2)</f>
        <v>0</v>
      </c>
      <c r="F11" s="15">
        <f>MOD(INT(HEX2DEC(MID($C11,3,10))/8192),2)</f>
        <v>0</v>
      </c>
      <c r="G11" s="15">
        <f>MOD(INT(HEX2DEC(MID($C11,3,10))/4096),2)</f>
        <v>1</v>
      </c>
      <c r="H11" s="15">
        <f>MOD(INT(HEX2DEC(MID($C11,3,10))/2048),2)</f>
        <v>0</v>
      </c>
      <c r="I11" s="15">
        <f>MOD(INT(HEX2DEC(MID($C11,3,10))/1024),2)</f>
        <v>0</v>
      </c>
      <c r="J11" s="15">
        <f>MOD(INT(HEX2DEC(MID($C11,3,10))/512),2)</f>
        <v>0</v>
      </c>
      <c r="K11" s="15">
        <f>MOD(INT(HEX2DEC(MID($C11,3,10))/256),2)</f>
        <v>0</v>
      </c>
      <c r="L11" s="15">
        <f>MOD(INT(HEX2DEC(MID($C11,3,10))/128),2)</f>
        <v>0</v>
      </c>
      <c r="M11" s="15">
        <f>MOD(INT(HEX2DEC(MID($C11,3,10))/64),2)</f>
        <v>0</v>
      </c>
      <c r="N11" s="15">
        <f>MOD(INT(HEX2DEC(MID($C11,3,10))/32),2)</f>
        <v>0</v>
      </c>
      <c r="O11" s="16">
        <f>MOD(INT(HEX2DEC(MID($C11,3,10))/16),2)</f>
        <v>0</v>
      </c>
      <c r="P11" s="16">
        <f>MOD(INT(HEX2DEC(MID($C11,3,10))/8),2)</f>
        <v>0</v>
      </c>
      <c r="Q11" s="17">
        <f>MOD(INT(HEX2DEC(MID($C11,3,10))/4),2)</f>
        <v>0</v>
      </c>
      <c r="R11" s="17">
        <f>MOD(INT(HEX2DEC(MID($C11,3,10))/2),2)</f>
        <v>0</v>
      </c>
      <c r="S11" s="17">
        <f>MOD(INT(HEX2DEC(MID($C11,3,10))/1),2)</f>
        <v>0</v>
      </c>
      <c r="T11" s="18" t="str">
        <f>"0x"&amp;DEC2HEX(INT(HEX2DEC(MID($C11,3,10))/32),3)</f>
        <v>0x080</v>
      </c>
      <c r="U11" s="18" t="str">
        <f>O11&amp;P11</f>
        <v>00</v>
      </c>
      <c r="V11" s="18" t="str">
        <f>Q11&amp;R11&amp;S11</f>
        <v>000</v>
      </c>
      <c r="W11" s="18" t="s">
        <v>14</v>
      </c>
      <c r="X11" s="18" t="s">
        <v>15</v>
      </c>
      <c r="Y11" s="18" t="s">
        <v>16</v>
      </c>
      <c r="Z11" s="18" t="s">
        <v>26</v>
      </c>
      <c r="AA11" s="19" t="s">
        <v>127</v>
      </c>
    </row>
    <row r="12" spans="1:27" x14ac:dyDescent="0.25">
      <c r="A12" s="3" t="s">
        <v>37</v>
      </c>
      <c r="B12" s="4" t="s">
        <v>12</v>
      </c>
      <c r="C12" s="5" t="s">
        <v>38</v>
      </c>
      <c r="D12" s="6">
        <f>MOD(INT(HEX2DEC(MID($C12,3,10))/32768),2)</f>
        <v>0</v>
      </c>
      <c r="E12" s="7">
        <f>MOD(INT(HEX2DEC(MID($C12,3,10))/16384),2)</f>
        <v>0</v>
      </c>
      <c r="F12" s="7">
        <f>MOD(INT(HEX2DEC(MID($C12,3,10))/8192),2)</f>
        <v>0</v>
      </c>
      <c r="G12" s="7">
        <f>MOD(INT(HEX2DEC(MID($C12,3,10))/4096),2)</f>
        <v>0</v>
      </c>
      <c r="H12" s="7">
        <f>MOD(INT(HEX2DEC(MID($C12,3,10))/2048),2)</f>
        <v>0</v>
      </c>
      <c r="I12" s="7">
        <f>MOD(INT(HEX2DEC(MID($C12,3,10))/1024),2)</f>
        <v>0</v>
      </c>
      <c r="J12" s="7">
        <f>MOD(INT(HEX2DEC(MID($C12,3,10))/512),2)</f>
        <v>0</v>
      </c>
      <c r="K12" s="7">
        <f>MOD(INT(HEX2DEC(MID($C12,3,10))/256),2)</f>
        <v>0</v>
      </c>
      <c r="L12" s="7">
        <f>MOD(INT(HEX2DEC(MID($C12,3,10))/128),2)</f>
        <v>0</v>
      </c>
      <c r="M12" s="7">
        <f>MOD(INT(HEX2DEC(MID($C12,3,10))/64),2)</f>
        <v>0</v>
      </c>
      <c r="N12" s="7">
        <f>MOD(INT(HEX2DEC(MID($C12,3,10))/32),2)</f>
        <v>0</v>
      </c>
      <c r="O12" s="8">
        <f>MOD(INT(HEX2DEC(MID($C12,3,10))/16),2)</f>
        <v>1</v>
      </c>
      <c r="P12" s="8">
        <f>MOD(INT(HEX2DEC(MID($C12,3,10))/8),2)</f>
        <v>0</v>
      </c>
      <c r="Q12" s="9">
        <f>MOD(INT(HEX2DEC(MID($C12,3,10))/4),2)</f>
        <v>1</v>
      </c>
      <c r="R12" s="9">
        <f>MOD(INT(HEX2DEC(MID($C12,3,10))/2),2)</f>
        <v>0</v>
      </c>
      <c r="S12" s="9">
        <f>MOD(INT(HEX2DEC(MID($C12,3,10))/1),2)</f>
        <v>0</v>
      </c>
      <c r="T12" s="10" t="str">
        <f>"0x"&amp;DEC2HEX(INT(HEX2DEC(MID($C12,3,10))/32),3)</f>
        <v>0x000</v>
      </c>
      <c r="U12" s="10" t="str">
        <f>O12&amp;P12</f>
        <v>10</v>
      </c>
      <c r="V12" s="10" t="str">
        <f>Q12&amp;R12&amp;S12</f>
        <v>100</v>
      </c>
      <c r="W12" s="10" t="s">
        <v>22</v>
      </c>
      <c r="X12" s="10" t="s">
        <v>16</v>
      </c>
      <c r="Y12" s="10" t="s">
        <v>16</v>
      </c>
      <c r="Z12" s="10" t="s">
        <v>132</v>
      </c>
      <c r="AA12" s="11" t="s">
        <v>23</v>
      </c>
    </row>
    <row r="13" spans="1:27" x14ac:dyDescent="0.25">
      <c r="A13" s="3"/>
      <c r="B13" s="12" t="s">
        <v>19</v>
      </c>
      <c r="C13" s="13" t="s">
        <v>39</v>
      </c>
      <c r="D13" s="14">
        <f>MOD(INT(HEX2DEC(MID($C13,3,10))/32768),2)</f>
        <v>0</v>
      </c>
      <c r="E13" s="15">
        <f>MOD(INT(HEX2DEC(MID($C13,3,10))/16384),2)</f>
        <v>0</v>
      </c>
      <c r="F13" s="15">
        <f>MOD(INT(HEX2DEC(MID($C13,3,10))/8192),2)</f>
        <v>1</v>
      </c>
      <c r="G13" s="15">
        <f>MOD(INT(HEX2DEC(MID($C13,3,10))/4096),2)</f>
        <v>0</v>
      </c>
      <c r="H13" s="15">
        <f>MOD(INT(HEX2DEC(MID($C13,3,10))/2048),2)</f>
        <v>0</v>
      </c>
      <c r="I13" s="15">
        <f>MOD(INT(HEX2DEC(MID($C13,3,10))/1024),2)</f>
        <v>0</v>
      </c>
      <c r="J13" s="15">
        <f>MOD(INT(HEX2DEC(MID($C13,3,10))/512),2)</f>
        <v>0</v>
      </c>
      <c r="K13" s="15">
        <f>MOD(INT(HEX2DEC(MID($C13,3,10))/256),2)</f>
        <v>0</v>
      </c>
      <c r="L13" s="15">
        <f>MOD(INT(HEX2DEC(MID($C13,3,10))/128),2)</f>
        <v>0</v>
      </c>
      <c r="M13" s="15">
        <f>MOD(INT(HEX2DEC(MID($C13,3,10))/64),2)</f>
        <v>0</v>
      </c>
      <c r="N13" s="15">
        <f>MOD(INT(HEX2DEC(MID($C13,3,10))/32),2)</f>
        <v>0</v>
      </c>
      <c r="O13" s="16">
        <f>MOD(INT(HEX2DEC(MID($C13,3,10))/16),2)</f>
        <v>0</v>
      </c>
      <c r="P13" s="16">
        <f>MOD(INT(HEX2DEC(MID($C13,3,10))/8),2)</f>
        <v>0</v>
      </c>
      <c r="Q13" s="17">
        <f>MOD(INT(HEX2DEC(MID($C13,3,10))/4),2)</f>
        <v>0</v>
      </c>
      <c r="R13" s="17">
        <f>MOD(INT(HEX2DEC(MID($C13,3,10))/2),2)</f>
        <v>0</v>
      </c>
      <c r="S13" s="17">
        <f>MOD(INT(HEX2DEC(MID($C13,3,10))/1),2)</f>
        <v>0</v>
      </c>
      <c r="T13" s="18" t="str">
        <f>"0x"&amp;DEC2HEX(INT(HEX2DEC(MID($C13,3,10))/32),3)</f>
        <v>0x100</v>
      </c>
      <c r="U13" s="18" t="str">
        <f>O13&amp;P13</f>
        <v>00</v>
      </c>
      <c r="V13" s="18" t="str">
        <f>Q13&amp;R13&amp;S13</f>
        <v>000</v>
      </c>
      <c r="W13" s="18" t="s">
        <v>14</v>
      </c>
      <c r="X13" s="18" t="s">
        <v>15</v>
      </c>
      <c r="Y13" s="18" t="s">
        <v>16</v>
      </c>
      <c r="Z13" s="18" t="s">
        <v>32</v>
      </c>
      <c r="AA13" s="19" t="s">
        <v>155</v>
      </c>
    </row>
    <row r="14" spans="1:27" x14ac:dyDescent="0.25">
      <c r="A14" s="3" t="s">
        <v>41</v>
      </c>
      <c r="B14" s="4" t="s">
        <v>12</v>
      </c>
      <c r="C14" s="5" t="s">
        <v>42</v>
      </c>
      <c r="D14" s="6">
        <f>MOD(INT(HEX2DEC(MID($C14,3,10))/32768),2)</f>
        <v>0</v>
      </c>
      <c r="E14" s="7">
        <f>MOD(INT(HEX2DEC(MID($C14,3,10))/16384),2)</f>
        <v>0</v>
      </c>
      <c r="F14" s="7">
        <f>MOD(INT(HEX2DEC(MID($C14,3,10))/8192),2)</f>
        <v>0</v>
      </c>
      <c r="G14" s="7">
        <f>MOD(INT(HEX2DEC(MID($C14,3,10))/4096),2)</f>
        <v>0</v>
      </c>
      <c r="H14" s="7">
        <f>MOD(INT(HEX2DEC(MID($C14,3,10))/2048),2)</f>
        <v>0</v>
      </c>
      <c r="I14" s="7">
        <f>MOD(INT(HEX2DEC(MID($C14,3,10))/1024),2)</f>
        <v>0</v>
      </c>
      <c r="J14" s="7">
        <f>MOD(INT(HEX2DEC(MID($C14,3,10))/512),2)</f>
        <v>0</v>
      </c>
      <c r="K14" s="7">
        <f>MOD(INT(HEX2DEC(MID($C14,3,10))/256),2)</f>
        <v>0</v>
      </c>
      <c r="L14" s="7">
        <f>MOD(INT(HEX2DEC(MID($C14,3,10))/128),2)</f>
        <v>0</v>
      </c>
      <c r="M14" s="7">
        <f>MOD(INT(HEX2DEC(MID($C14,3,10))/64),2)</f>
        <v>0</v>
      </c>
      <c r="N14" s="7">
        <f>MOD(INT(HEX2DEC(MID($C14,3,10))/32),2)</f>
        <v>0</v>
      </c>
      <c r="O14" s="8">
        <f>MOD(INT(HEX2DEC(MID($C14,3,10))/16),2)</f>
        <v>1</v>
      </c>
      <c r="P14" s="8">
        <f>MOD(INT(HEX2DEC(MID($C14,3,10))/8),2)</f>
        <v>1</v>
      </c>
      <c r="Q14" s="9">
        <f>MOD(INT(HEX2DEC(MID($C14,3,10))/4),2)</f>
        <v>0</v>
      </c>
      <c r="R14" s="9">
        <f>MOD(INT(HEX2DEC(MID($C14,3,10))/2),2)</f>
        <v>0</v>
      </c>
      <c r="S14" s="9">
        <f>MOD(INT(HEX2DEC(MID($C14,3,10))/1),2)</f>
        <v>0</v>
      </c>
      <c r="T14" s="10" t="str">
        <f>"0x"&amp;DEC2HEX(INT(HEX2DEC(MID($C14,3,10))/32),3)</f>
        <v>0x000</v>
      </c>
      <c r="U14" s="10" t="str">
        <f>O14&amp;P14</f>
        <v>11</v>
      </c>
      <c r="V14" s="10" t="str">
        <f>Q14&amp;R14&amp;S14</f>
        <v>000</v>
      </c>
      <c r="W14" s="10" t="s">
        <v>14</v>
      </c>
      <c r="X14" s="10" t="s">
        <v>15</v>
      </c>
      <c r="Y14" s="10" t="s">
        <v>16</v>
      </c>
      <c r="Z14" s="10" t="s">
        <v>136</v>
      </c>
      <c r="AA14" s="11" t="s">
        <v>156</v>
      </c>
    </row>
    <row r="15" spans="1:27" x14ac:dyDescent="0.25">
      <c r="A15" s="3"/>
      <c r="B15" s="12" t="s">
        <v>19</v>
      </c>
      <c r="C15" s="13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  <c r="P15" s="16"/>
      <c r="Q15" s="17"/>
      <c r="R15" s="17"/>
      <c r="S15" s="17"/>
      <c r="T15" s="18"/>
      <c r="U15" s="18"/>
      <c r="V15" s="18"/>
      <c r="W15" s="18"/>
      <c r="X15" s="18"/>
      <c r="Y15" s="18"/>
      <c r="Z15" s="18"/>
      <c r="AA15" s="19"/>
    </row>
    <row r="16" spans="1:27" x14ac:dyDescent="0.25">
      <c r="A16" s="3" t="s">
        <v>45</v>
      </c>
      <c r="B16" s="4" t="s">
        <v>12</v>
      </c>
      <c r="C16" s="5" t="s">
        <v>46</v>
      </c>
      <c r="D16" s="6">
        <f>MOD(INT(HEX2DEC(MID($C16,3,10))/32768),2)</f>
        <v>0</v>
      </c>
      <c r="E16" s="7">
        <f>MOD(INT(HEX2DEC(MID($C16,3,10))/16384),2)</f>
        <v>0</v>
      </c>
      <c r="F16" s="7">
        <f>MOD(INT(HEX2DEC(MID($C16,3,10))/8192),2)</f>
        <v>0</v>
      </c>
      <c r="G16" s="7">
        <f>MOD(INT(HEX2DEC(MID($C16,3,10))/4096),2)</f>
        <v>0</v>
      </c>
      <c r="H16" s="7">
        <f>MOD(INT(HEX2DEC(MID($C16,3,10))/2048),2)</f>
        <v>0</v>
      </c>
      <c r="I16" s="7">
        <f>MOD(INT(HEX2DEC(MID($C16,3,10))/1024),2)</f>
        <v>0</v>
      </c>
      <c r="J16" s="7">
        <f>MOD(INT(HEX2DEC(MID($C16,3,10))/512),2)</f>
        <v>0</v>
      </c>
      <c r="K16" s="7">
        <f>MOD(INT(HEX2DEC(MID($C16,3,10))/256),2)</f>
        <v>0</v>
      </c>
      <c r="L16" s="7">
        <f>MOD(INT(HEX2DEC(MID($C16,3,10))/128),2)</f>
        <v>0</v>
      </c>
      <c r="M16" s="7">
        <f>MOD(INT(HEX2DEC(MID($C16,3,10))/64),2)</f>
        <v>0</v>
      </c>
      <c r="N16" s="7">
        <f>MOD(INT(HEX2DEC(MID($C16,3,10))/32),2)</f>
        <v>0</v>
      </c>
      <c r="O16" s="8">
        <f>MOD(INT(HEX2DEC(MID($C16,3,10))/16),2)</f>
        <v>1</v>
      </c>
      <c r="P16" s="8">
        <f>MOD(INT(HEX2DEC(MID($C16,3,10))/8),2)</f>
        <v>1</v>
      </c>
      <c r="Q16" s="9">
        <f>MOD(INT(HEX2DEC(MID($C16,3,10))/4),2)</f>
        <v>1</v>
      </c>
      <c r="R16" s="9">
        <f>MOD(INT(HEX2DEC(MID($C16,3,10))/2),2)</f>
        <v>0</v>
      </c>
      <c r="S16" s="9">
        <f>MOD(INT(HEX2DEC(MID($C16,3,10))/1),2)</f>
        <v>0</v>
      </c>
      <c r="T16" s="10" t="str">
        <f>"0x"&amp;DEC2HEX(INT(HEX2DEC(MID($C16,3,10))/32),3)</f>
        <v>0x000</v>
      </c>
      <c r="U16" s="10" t="str">
        <f>O16&amp;P16</f>
        <v>11</v>
      </c>
      <c r="V16" s="10" t="str">
        <f>Q16&amp;R16&amp;S16</f>
        <v>100</v>
      </c>
      <c r="W16" s="10" t="s">
        <v>22</v>
      </c>
      <c r="X16" s="10" t="s">
        <v>16</v>
      </c>
      <c r="Y16" s="10" t="s">
        <v>16</v>
      </c>
      <c r="Z16" s="10" t="s">
        <v>136</v>
      </c>
      <c r="AA16" s="11" t="s">
        <v>23</v>
      </c>
    </row>
    <row r="17" spans="1:27" x14ac:dyDescent="0.25">
      <c r="A17" s="3"/>
      <c r="B17" s="12" t="s">
        <v>19</v>
      </c>
      <c r="C17" s="13" t="s">
        <v>47</v>
      </c>
      <c r="D17" s="14">
        <f>MOD(INT(HEX2DEC(MID($C17,3,10))/32768),2)</f>
        <v>0</v>
      </c>
      <c r="E17" s="15">
        <f>MOD(INT(HEX2DEC(MID($C17,3,10))/16384),2)</f>
        <v>0</v>
      </c>
      <c r="F17" s="15">
        <f>MOD(INT(HEX2DEC(MID($C17,3,10))/8192),2)</f>
        <v>1</v>
      </c>
      <c r="G17" s="15">
        <f>MOD(INT(HEX2DEC(MID($C17,3,10))/4096),2)</f>
        <v>0</v>
      </c>
      <c r="H17" s="15">
        <f>MOD(INT(HEX2DEC(MID($C17,3,10))/2048),2)</f>
        <v>0</v>
      </c>
      <c r="I17" s="15">
        <f>MOD(INT(HEX2DEC(MID($C17,3,10))/1024),2)</f>
        <v>0</v>
      </c>
      <c r="J17" s="15">
        <f>MOD(INT(HEX2DEC(MID($C17,3,10))/512),2)</f>
        <v>0</v>
      </c>
      <c r="K17" s="15">
        <f>MOD(INT(HEX2DEC(MID($C17,3,10))/256),2)</f>
        <v>0</v>
      </c>
      <c r="L17" s="15">
        <f>MOD(INT(HEX2DEC(MID($C17,3,10))/128),2)</f>
        <v>1</v>
      </c>
      <c r="M17" s="15">
        <f>MOD(INT(HEX2DEC(MID($C17,3,10))/64),2)</f>
        <v>0</v>
      </c>
      <c r="N17" s="15">
        <f>MOD(INT(HEX2DEC(MID($C17,3,10))/32),2)</f>
        <v>0</v>
      </c>
      <c r="O17" s="16">
        <f>MOD(INT(HEX2DEC(MID($C17,3,10))/16),2)</f>
        <v>0</v>
      </c>
      <c r="P17" s="16">
        <f>MOD(INT(HEX2DEC(MID($C17,3,10))/8),2)</f>
        <v>0</v>
      </c>
      <c r="Q17" s="17">
        <f>MOD(INT(HEX2DEC(MID($C17,3,10))/4),2)</f>
        <v>0</v>
      </c>
      <c r="R17" s="17">
        <f>MOD(INT(HEX2DEC(MID($C17,3,10))/2),2)</f>
        <v>0</v>
      </c>
      <c r="S17" s="17">
        <f>MOD(INT(HEX2DEC(MID($C17,3,10))/1),2)</f>
        <v>0</v>
      </c>
      <c r="T17" s="18" t="str">
        <f>"0x"&amp;DEC2HEX(INT(HEX2DEC(MID($C17,3,10))/32),3)</f>
        <v>0x104</v>
      </c>
      <c r="U17" s="18" t="str">
        <f>O17&amp;P17</f>
        <v>00</v>
      </c>
      <c r="V17" s="18" t="str">
        <f>Q17&amp;R17&amp;S17</f>
        <v>000</v>
      </c>
      <c r="W17" s="18" t="s">
        <v>14</v>
      </c>
      <c r="X17" s="18" t="s">
        <v>15</v>
      </c>
      <c r="Y17" s="18" t="s">
        <v>16</v>
      </c>
      <c r="Z17" s="18" t="s">
        <v>43</v>
      </c>
      <c r="AA17" s="19" t="s">
        <v>157</v>
      </c>
    </row>
    <row r="18" spans="1:27" x14ac:dyDescent="0.25">
      <c r="A18" s="3" t="s">
        <v>49</v>
      </c>
      <c r="B18" s="4" t="s">
        <v>12</v>
      </c>
      <c r="C18" s="5" t="s">
        <v>50</v>
      </c>
      <c r="D18" s="6">
        <f>MOD(INT(HEX2DEC(MID($C18,3,10))/32768),2)</f>
        <v>0</v>
      </c>
      <c r="E18" s="7">
        <f>MOD(INT(HEX2DEC(MID($C18,3,10))/16384),2)</f>
        <v>0</v>
      </c>
      <c r="F18" s="7">
        <f>MOD(INT(HEX2DEC(MID($C18,3,10))/8192),2)</f>
        <v>0</v>
      </c>
      <c r="G18" s="7">
        <f>MOD(INT(HEX2DEC(MID($C18,3,10))/4096),2)</f>
        <v>0</v>
      </c>
      <c r="H18" s="7">
        <f>MOD(INT(HEX2DEC(MID($C18,3,10))/2048),2)</f>
        <v>0</v>
      </c>
      <c r="I18" s="7">
        <f>MOD(INT(HEX2DEC(MID($C18,3,10))/1024),2)</f>
        <v>0</v>
      </c>
      <c r="J18" s="7">
        <f>MOD(INT(HEX2DEC(MID($C18,3,10))/512),2)</f>
        <v>0</v>
      </c>
      <c r="K18" s="7">
        <f>MOD(INT(HEX2DEC(MID($C18,3,10))/256),2)</f>
        <v>0</v>
      </c>
      <c r="L18" s="7">
        <f>MOD(INT(HEX2DEC(MID($C18,3,10))/128),2)</f>
        <v>0</v>
      </c>
      <c r="M18" s="7">
        <f>MOD(INT(HEX2DEC(MID($C18,3,10))/64),2)</f>
        <v>0</v>
      </c>
      <c r="N18" s="7">
        <f>MOD(INT(HEX2DEC(MID($C18,3,10))/32),2)</f>
        <v>1</v>
      </c>
      <c r="O18" s="8">
        <f>MOD(INT(HEX2DEC(MID($C18,3,10))/16),2)</f>
        <v>0</v>
      </c>
      <c r="P18" s="8">
        <f>MOD(INT(HEX2DEC(MID($C18,3,10))/8),2)</f>
        <v>0</v>
      </c>
      <c r="Q18" s="9">
        <f>MOD(INT(HEX2DEC(MID($C18,3,10))/4),2)</f>
        <v>0</v>
      </c>
      <c r="R18" s="9">
        <f>MOD(INT(HEX2DEC(MID($C18,3,10))/2),2)</f>
        <v>0</v>
      </c>
      <c r="S18" s="9">
        <f>MOD(INT(HEX2DEC(MID($C18,3,10))/1),2)</f>
        <v>0</v>
      </c>
      <c r="T18" s="10" t="str">
        <f>"0x"&amp;DEC2HEX(INT(HEX2DEC(MID($C18,3,10))/32),3)</f>
        <v>0x001</v>
      </c>
      <c r="U18" s="10" t="str">
        <f>O18&amp;P18</f>
        <v>00</v>
      </c>
      <c r="V18" s="10" t="str">
        <f>Q18&amp;R18&amp;S18</f>
        <v>000</v>
      </c>
      <c r="W18" s="10" t="s">
        <v>14</v>
      </c>
      <c r="X18" s="10" t="s">
        <v>35</v>
      </c>
      <c r="Y18" s="10" t="s">
        <v>15</v>
      </c>
      <c r="Z18" s="10" t="s">
        <v>17</v>
      </c>
      <c r="AA18" s="11" t="s">
        <v>158</v>
      </c>
    </row>
    <row r="19" spans="1:27" x14ac:dyDescent="0.25">
      <c r="A19" s="3"/>
      <c r="B19" s="12" t="s">
        <v>19</v>
      </c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  <c r="P19" s="16"/>
      <c r="Q19" s="17"/>
      <c r="R19" s="17"/>
      <c r="S19" s="17"/>
      <c r="T19" s="18"/>
      <c r="U19" s="18"/>
      <c r="V19" s="18"/>
      <c r="W19" s="18"/>
      <c r="X19" s="18"/>
      <c r="Y19" s="18"/>
      <c r="Z19" s="18"/>
      <c r="AA19" s="19"/>
    </row>
    <row r="20" spans="1:27" x14ac:dyDescent="0.25">
      <c r="A20" s="3" t="s">
        <v>53</v>
      </c>
      <c r="B20" s="4" t="s">
        <v>12</v>
      </c>
      <c r="C20" s="5" t="s">
        <v>54</v>
      </c>
      <c r="D20" s="6">
        <f>MOD(INT(HEX2DEC(MID($C20,3,10))/32768),2)</f>
        <v>0</v>
      </c>
      <c r="E20" s="7">
        <f>MOD(INT(HEX2DEC(MID($C20,3,10))/16384),2)</f>
        <v>0</v>
      </c>
      <c r="F20" s="7">
        <f>MOD(INT(HEX2DEC(MID($C20,3,10))/8192),2)</f>
        <v>0</v>
      </c>
      <c r="G20" s="7">
        <f>MOD(INT(HEX2DEC(MID($C20,3,10))/4096),2)</f>
        <v>0</v>
      </c>
      <c r="H20" s="7">
        <f>MOD(INT(HEX2DEC(MID($C20,3,10))/2048),2)</f>
        <v>0</v>
      </c>
      <c r="I20" s="7">
        <f>MOD(INT(HEX2DEC(MID($C20,3,10))/1024),2)</f>
        <v>0</v>
      </c>
      <c r="J20" s="7">
        <f>MOD(INT(HEX2DEC(MID($C20,3,10))/512),2)</f>
        <v>0</v>
      </c>
      <c r="K20" s="7">
        <f>MOD(INT(HEX2DEC(MID($C20,3,10))/256),2)</f>
        <v>0</v>
      </c>
      <c r="L20" s="7">
        <f>MOD(INT(HEX2DEC(MID($C20,3,10))/128),2)</f>
        <v>0</v>
      </c>
      <c r="M20" s="7">
        <f>MOD(INT(HEX2DEC(MID($C20,3,10))/64),2)</f>
        <v>0</v>
      </c>
      <c r="N20" s="7">
        <f>MOD(INT(HEX2DEC(MID($C20,3,10))/32),2)</f>
        <v>1</v>
      </c>
      <c r="O20" s="8">
        <f>MOD(INT(HEX2DEC(MID($C20,3,10))/16),2)</f>
        <v>0</v>
      </c>
      <c r="P20" s="8">
        <f>MOD(INT(HEX2DEC(MID($C20,3,10))/8),2)</f>
        <v>0</v>
      </c>
      <c r="Q20" s="9">
        <f>MOD(INT(HEX2DEC(MID($C20,3,10))/4),2)</f>
        <v>1</v>
      </c>
      <c r="R20" s="9">
        <f>MOD(INT(HEX2DEC(MID($C20,3,10))/2),2)</f>
        <v>0</v>
      </c>
      <c r="S20" s="9">
        <f>MOD(INT(HEX2DEC(MID($C20,3,10))/1),2)</f>
        <v>0</v>
      </c>
      <c r="T20" s="10" t="str">
        <f>"0x"&amp;DEC2HEX(INT(HEX2DEC(MID($C20,3,10))/32),3)</f>
        <v>0x001</v>
      </c>
      <c r="U20" s="10" t="str">
        <f>O20&amp;P20</f>
        <v>00</v>
      </c>
      <c r="V20" s="10" t="str">
        <f>Q20&amp;R20&amp;S20</f>
        <v>100</v>
      </c>
      <c r="W20" s="10" t="s">
        <v>22</v>
      </c>
      <c r="X20" s="10" t="s">
        <v>16</v>
      </c>
      <c r="Y20" s="10" t="s">
        <v>16</v>
      </c>
      <c r="Z20" s="10" t="s">
        <v>17</v>
      </c>
      <c r="AA20" s="11" t="s">
        <v>23</v>
      </c>
    </row>
    <row r="21" spans="1:27" x14ac:dyDescent="0.25">
      <c r="A21" s="3"/>
      <c r="B21" s="12" t="s">
        <v>19</v>
      </c>
      <c r="C21" s="13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  <c r="P21" s="16"/>
      <c r="Q21" s="17"/>
      <c r="R21" s="17"/>
      <c r="S21" s="17"/>
      <c r="T21" s="18"/>
      <c r="U21" s="18"/>
      <c r="V21" s="18"/>
      <c r="W21" s="18"/>
      <c r="X21" s="18"/>
      <c r="Y21" s="18"/>
      <c r="Z21" s="18"/>
      <c r="AA21" s="19"/>
    </row>
    <row r="22" spans="1:27" x14ac:dyDescent="0.25">
      <c r="A22" s="3" t="s">
        <v>55</v>
      </c>
      <c r="B22" s="4" t="s">
        <v>12</v>
      </c>
      <c r="C22" s="5" t="s">
        <v>56</v>
      </c>
      <c r="D22" s="6">
        <f>MOD(INT(HEX2DEC(MID($C22,3,10))/32768),2)</f>
        <v>0</v>
      </c>
      <c r="E22" s="7">
        <f>MOD(INT(HEX2DEC(MID($C22,3,10))/16384),2)</f>
        <v>0</v>
      </c>
      <c r="F22" s="7">
        <f>MOD(INT(HEX2DEC(MID($C22,3,10))/8192),2)</f>
        <v>0</v>
      </c>
      <c r="G22" s="7">
        <f>MOD(INT(HEX2DEC(MID($C22,3,10))/4096),2)</f>
        <v>0</v>
      </c>
      <c r="H22" s="7">
        <f>MOD(INT(HEX2DEC(MID($C22,3,10))/2048),2)</f>
        <v>0</v>
      </c>
      <c r="I22" s="7">
        <f>MOD(INT(HEX2DEC(MID($C22,3,10))/1024),2)</f>
        <v>0</v>
      </c>
      <c r="J22" s="7">
        <f>MOD(INT(HEX2DEC(MID($C22,3,10))/512),2)</f>
        <v>0</v>
      </c>
      <c r="K22" s="7">
        <f>MOD(INT(HEX2DEC(MID($C22,3,10))/256),2)</f>
        <v>0</v>
      </c>
      <c r="L22" s="7">
        <f>MOD(INT(HEX2DEC(MID($C22,3,10))/128),2)</f>
        <v>0</v>
      </c>
      <c r="M22" s="7">
        <f>MOD(INT(HEX2DEC(MID($C22,3,10))/64),2)</f>
        <v>0</v>
      </c>
      <c r="N22" s="7">
        <f>MOD(INT(HEX2DEC(MID($C22,3,10))/32),2)</f>
        <v>1</v>
      </c>
      <c r="O22" s="8">
        <f>MOD(INT(HEX2DEC(MID($C22,3,10))/16),2)</f>
        <v>0</v>
      </c>
      <c r="P22" s="8">
        <f>MOD(INT(HEX2DEC(MID($C22,3,10))/8),2)</f>
        <v>1</v>
      </c>
      <c r="Q22" s="9">
        <f>MOD(INT(HEX2DEC(MID($C22,3,10))/4),2)</f>
        <v>0</v>
      </c>
      <c r="R22" s="9">
        <f>MOD(INT(HEX2DEC(MID($C22,3,10))/2),2)</f>
        <v>0</v>
      </c>
      <c r="S22" s="9">
        <f>MOD(INT(HEX2DEC(MID($C22,3,10))/1),2)</f>
        <v>0</v>
      </c>
      <c r="T22" s="10" t="str">
        <f>"0x"&amp;DEC2HEX(INT(HEX2DEC(MID($C22,3,10))/32),3)</f>
        <v>0x001</v>
      </c>
      <c r="U22" s="10" t="str">
        <f>O22&amp;P22</f>
        <v>01</v>
      </c>
      <c r="V22" s="10" t="str">
        <f>Q22&amp;R22&amp;S22</f>
        <v>000</v>
      </c>
      <c r="W22" s="10" t="s">
        <v>14</v>
      </c>
      <c r="X22" s="10" t="s">
        <v>15</v>
      </c>
      <c r="Y22" s="10" t="s">
        <v>16</v>
      </c>
      <c r="Z22" s="10" t="s">
        <v>57</v>
      </c>
      <c r="AA22" s="11" t="s">
        <v>58</v>
      </c>
    </row>
    <row r="23" spans="1:27" x14ac:dyDescent="0.25">
      <c r="A23" s="3"/>
      <c r="B23" s="12" t="s">
        <v>19</v>
      </c>
      <c r="C23" s="13"/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  <c r="P23" s="16"/>
      <c r="Q23" s="17"/>
      <c r="R23" s="17"/>
      <c r="S23" s="17"/>
      <c r="T23" s="18"/>
      <c r="U23" s="18"/>
      <c r="V23" s="18"/>
      <c r="W23" s="18"/>
      <c r="X23" s="18"/>
      <c r="Y23" s="18"/>
      <c r="Z23" s="18"/>
      <c r="AA23" s="19"/>
    </row>
    <row r="24" spans="1:27" x14ac:dyDescent="0.25">
      <c r="A24" s="3" t="s">
        <v>59</v>
      </c>
      <c r="B24" s="4" t="s">
        <v>12</v>
      </c>
      <c r="C24" s="5" t="s">
        <v>60</v>
      </c>
      <c r="D24" s="6">
        <f>MOD(INT(HEX2DEC(MID($C24,3,10))/32768),2)</f>
        <v>0</v>
      </c>
      <c r="E24" s="7">
        <f>MOD(INT(HEX2DEC(MID($C24,3,10))/16384),2)</f>
        <v>0</v>
      </c>
      <c r="F24" s="7">
        <f>MOD(INT(HEX2DEC(MID($C24,3,10))/8192),2)</f>
        <v>0</v>
      </c>
      <c r="G24" s="7">
        <f>MOD(INT(HEX2DEC(MID($C24,3,10))/4096),2)</f>
        <v>0</v>
      </c>
      <c r="H24" s="7">
        <f>MOD(INT(HEX2DEC(MID($C24,3,10))/2048),2)</f>
        <v>0</v>
      </c>
      <c r="I24" s="7">
        <f>MOD(INT(HEX2DEC(MID($C24,3,10))/1024),2)</f>
        <v>0</v>
      </c>
      <c r="J24" s="7">
        <f>MOD(INT(HEX2DEC(MID($C24,3,10))/512),2)</f>
        <v>0</v>
      </c>
      <c r="K24" s="7">
        <f>MOD(INT(HEX2DEC(MID($C24,3,10))/256),2)</f>
        <v>0</v>
      </c>
      <c r="L24" s="7">
        <f>MOD(INT(HEX2DEC(MID($C24,3,10))/128),2)</f>
        <v>0</v>
      </c>
      <c r="M24" s="7">
        <f>MOD(INT(HEX2DEC(MID($C24,3,10))/64),2)</f>
        <v>0</v>
      </c>
      <c r="N24" s="7">
        <f>MOD(INT(HEX2DEC(MID($C24,3,10))/32),2)</f>
        <v>1</v>
      </c>
      <c r="O24" s="8">
        <f>MOD(INT(HEX2DEC(MID($C24,3,10))/16),2)</f>
        <v>0</v>
      </c>
      <c r="P24" s="8">
        <f>MOD(INT(HEX2DEC(MID($C24,3,10))/8),2)</f>
        <v>1</v>
      </c>
      <c r="Q24" s="9">
        <f>MOD(INT(HEX2DEC(MID($C24,3,10))/4),2)</f>
        <v>1</v>
      </c>
      <c r="R24" s="9">
        <f>MOD(INT(HEX2DEC(MID($C24,3,10))/2),2)</f>
        <v>0</v>
      </c>
      <c r="S24" s="9">
        <f>MOD(INT(HEX2DEC(MID($C24,3,10))/1),2)</f>
        <v>0</v>
      </c>
      <c r="T24" s="10" t="str">
        <f>"0x"&amp;DEC2HEX(INT(HEX2DEC(MID($C24,3,10))/32),3)</f>
        <v>0x001</v>
      </c>
      <c r="U24" s="10" t="str">
        <f>O24&amp;P24</f>
        <v>01</v>
      </c>
      <c r="V24" s="10" t="str">
        <f>Q24&amp;R24&amp;S24</f>
        <v>100</v>
      </c>
      <c r="W24" s="10" t="s">
        <v>22</v>
      </c>
      <c r="X24" s="10" t="s">
        <v>16</v>
      </c>
      <c r="Y24" s="10" t="s">
        <v>16</v>
      </c>
      <c r="Z24" s="10" t="s">
        <v>57</v>
      </c>
      <c r="AA24" s="11" t="s">
        <v>23</v>
      </c>
    </row>
    <row r="25" spans="1:27" x14ac:dyDescent="0.25">
      <c r="A25" s="3"/>
      <c r="B25" s="12" t="s">
        <v>19</v>
      </c>
      <c r="C25" s="13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/>
      <c r="P25" s="16"/>
      <c r="Q25" s="17"/>
      <c r="R25" s="17"/>
      <c r="S25" s="17"/>
      <c r="T25" s="18"/>
      <c r="U25" s="18"/>
      <c r="V25" s="18"/>
      <c r="W25" s="18"/>
      <c r="X25" s="18"/>
      <c r="Y25" s="18"/>
      <c r="Z25" s="18"/>
      <c r="AA25" s="19"/>
    </row>
    <row r="26" spans="1:27" x14ac:dyDescent="0.25">
      <c r="A26" s="3" t="s">
        <v>61</v>
      </c>
      <c r="B26" s="4" t="s">
        <v>12</v>
      </c>
      <c r="C26" s="5" t="s">
        <v>62</v>
      </c>
      <c r="D26" s="6">
        <f>MOD(INT(HEX2DEC(MID($C26,3,10))/32768),2)</f>
        <v>0</v>
      </c>
      <c r="E26" s="7">
        <f>MOD(INT(HEX2DEC(MID($C26,3,10))/16384),2)</f>
        <v>0</v>
      </c>
      <c r="F26" s="7">
        <f>MOD(INT(HEX2DEC(MID($C26,3,10))/8192),2)</f>
        <v>0</v>
      </c>
      <c r="G26" s="7">
        <f>MOD(INT(HEX2DEC(MID($C26,3,10))/4096),2)</f>
        <v>0</v>
      </c>
      <c r="H26" s="7">
        <f>MOD(INT(HEX2DEC(MID($C26,3,10))/2048),2)</f>
        <v>0</v>
      </c>
      <c r="I26" s="7">
        <f>MOD(INT(HEX2DEC(MID($C26,3,10))/1024),2)</f>
        <v>0</v>
      </c>
      <c r="J26" s="7">
        <f>MOD(INT(HEX2DEC(MID($C26,3,10))/512),2)</f>
        <v>0</v>
      </c>
      <c r="K26" s="7">
        <f>MOD(INT(HEX2DEC(MID($C26,3,10))/256),2)</f>
        <v>0</v>
      </c>
      <c r="L26" s="7">
        <f>MOD(INT(HEX2DEC(MID($C26,3,10))/128),2)</f>
        <v>0</v>
      </c>
      <c r="M26" s="7">
        <f>MOD(INT(HEX2DEC(MID($C26,3,10))/64),2)</f>
        <v>0</v>
      </c>
      <c r="N26" s="7">
        <f>MOD(INT(HEX2DEC(MID($C26,3,10))/32),2)</f>
        <v>1</v>
      </c>
      <c r="O26" s="8">
        <f>MOD(INT(HEX2DEC(MID($C26,3,10))/16),2)</f>
        <v>1</v>
      </c>
      <c r="P26" s="8">
        <f>MOD(INT(HEX2DEC(MID($C26,3,10))/8),2)</f>
        <v>0</v>
      </c>
      <c r="Q26" s="9">
        <f>MOD(INT(HEX2DEC(MID($C26,3,10))/4),2)</f>
        <v>0</v>
      </c>
      <c r="R26" s="9">
        <f>MOD(INT(HEX2DEC(MID($C26,3,10))/2),2)</f>
        <v>0</v>
      </c>
      <c r="S26" s="9">
        <f>MOD(INT(HEX2DEC(MID($C26,3,10))/1),2)</f>
        <v>0</v>
      </c>
      <c r="T26" s="10" t="str">
        <f>"0x"&amp;DEC2HEX(INT(HEX2DEC(MID($C26,3,10))/32),3)</f>
        <v>0x001</v>
      </c>
      <c r="U26" s="10" t="str">
        <f>O26&amp;P26</f>
        <v>10</v>
      </c>
      <c r="V26" s="10" t="str">
        <f>Q26&amp;R26&amp;S26</f>
        <v>000</v>
      </c>
      <c r="W26" s="10" t="s">
        <v>14</v>
      </c>
      <c r="X26" s="10" t="s">
        <v>15</v>
      </c>
      <c r="Y26" s="10" t="s">
        <v>16</v>
      </c>
      <c r="Z26" s="10" t="s">
        <v>159</v>
      </c>
      <c r="AA26" s="11" t="s">
        <v>160</v>
      </c>
    </row>
    <row r="27" spans="1:27" x14ac:dyDescent="0.25">
      <c r="A27" s="3"/>
      <c r="B27" s="12" t="s">
        <v>19</v>
      </c>
      <c r="C27" s="13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  <c r="Q27" s="17"/>
      <c r="R27" s="17"/>
      <c r="S27" s="17"/>
      <c r="T27" s="18"/>
      <c r="U27" s="18"/>
      <c r="V27" s="18"/>
      <c r="W27" s="18"/>
      <c r="X27" s="18"/>
      <c r="Y27" s="18"/>
      <c r="Z27" s="18"/>
      <c r="AA27" s="19"/>
    </row>
    <row r="28" spans="1:27" x14ac:dyDescent="0.25">
      <c r="A28" s="3" t="s">
        <v>30</v>
      </c>
      <c r="B28" s="4" t="s">
        <v>12</v>
      </c>
      <c r="C28" s="5" t="s">
        <v>31</v>
      </c>
      <c r="D28" s="6">
        <f>MOD(INT(HEX2DEC(MID($C28,3,10))/32768),2)</f>
        <v>0</v>
      </c>
      <c r="E28" s="7">
        <f>MOD(INT(HEX2DEC(MID($C28,3,10))/16384),2)</f>
        <v>0</v>
      </c>
      <c r="F28" s="7">
        <f>MOD(INT(HEX2DEC(MID($C28,3,10))/8192),2)</f>
        <v>0</v>
      </c>
      <c r="G28" s="7">
        <f>MOD(INT(HEX2DEC(MID($C28,3,10))/4096),2)</f>
        <v>0</v>
      </c>
      <c r="H28" s="7">
        <f>MOD(INT(HEX2DEC(MID($C28,3,10))/2048),2)</f>
        <v>0</v>
      </c>
      <c r="I28" s="7">
        <f>MOD(INT(HEX2DEC(MID($C28,3,10))/1024),2)</f>
        <v>0</v>
      </c>
      <c r="J28" s="7">
        <f>MOD(INT(HEX2DEC(MID($C28,3,10))/512),2)</f>
        <v>0</v>
      </c>
      <c r="K28" s="7">
        <f>MOD(INT(HEX2DEC(MID($C28,3,10))/256),2)</f>
        <v>0</v>
      </c>
      <c r="L28" s="7">
        <f>MOD(INT(HEX2DEC(MID($C28,3,10))/128),2)</f>
        <v>0</v>
      </c>
      <c r="M28" s="7">
        <f>MOD(INT(HEX2DEC(MID($C28,3,10))/64),2)</f>
        <v>0</v>
      </c>
      <c r="N28" s="7">
        <f>MOD(INT(HEX2DEC(MID($C28,3,10))/32),2)</f>
        <v>0</v>
      </c>
      <c r="O28" s="8">
        <f>MOD(INT(HEX2DEC(MID($C28,3,10))/16),2)</f>
        <v>1</v>
      </c>
      <c r="P28" s="8">
        <f>MOD(INT(HEX2DEC(MID($C28,3,10))/8),2)</f>
        <v>0</v>
      </c>
      <c r="Q28" s="9">
        <f>MOD(INT(HEX2DEC(MID($C28,3,10))/4),2)</f>
        <v>0</v>
      </c>
      <c r="R28" s="9">
        <f>MOD(INT(HEX2DEC(MID($C28,3,10))/2),2)</f>
        <v>0</v>
      </c>
      <c r="S28" s="9">
        <f>MOD(INT(HEX2DEC(MID($C28,3,10))/1),2)</f>
        <v>0</v>
      </c>
      <c r="T28" s="10" t="str">
        <f>"0x"&amp;DEC2HEX(INT(HEX2DEC(MID($C28,3,10))/32),3)</f>
        <v>0x000</v>
      </c>
      <c r="U28" s="10" t="str">
        <f>O28&amp;P28</f>
        <v>10</v>
      </c>
      <c r="V28" s="10" t="str">
        <f>Q28&amp;R28&amp;S28</f>
        <v>000</v>
      </c>
      <c r="W28" s="10" t="s">
        <v>22</v>
      </c>
      <c r="X28" s="10" t="s">
        <v>16</v>
      </c>
      <c r="Y28" s="10" t="s">
        <v>16</v>
      </c>
      <c r="Z28" s="10" t="s">
        <v>132</v>
      </c>
      <c r="AA28" s="11" t="s">
        <v>23</v>
      </c>
    </row>
    <row r="29" spans="1:27" x14ac:dyDescent="0.25">
      <c r="A29" s="3"/>
      <c r="B29" s="12" t="s">
        <v>19</v>
      </c>
      <c r="C29" s="13" t="s">
        <v>65</v>
      </c>
      <c r="D29" s="14">
        <f>MOD(INT(HEX2DEC(MID($C29,3,10))/32768),2)</f>
        <v>0</v>
      </c>
      <c r="E29" s="15">
        <f>MOD(INT(HEX2DEC(MID($C29,3,10))/16384),2)</f>
        <v>0</v>
      </c>
      <c r="F29" s="15">
        <f>MOD(INT(HEX2DEC(MID($C29,3,10))/8192),2)</f>
        <v>0</v>
      </c>
      <c r="G29" s="15">
        <f>MOD(INT(HEX2DEC(MID($C29,3,10))/4096),2)</f>
        <v>1</v>
      </c>
      <c r="H29" s="15">
        <f>MOD(INT(HEX2DEC(MID($C29,3,10))/2048),2)</f>
        <v>0</v>
      </c>
      <c r="I29" s="15">
        <f>MOD(INT(HEX2DEC(MID($C29,3,10))/1024),2)</f>
        <v>0</v>
      </c>
      <c r="J29" s="15">
        <f>MOD(INT(HEX2DEC(MID($C29,3,10))/512),2)</f>
        <v>0</v>
      </c>
      <c r="K29" s="15">
        <f>MOD(INT(HEX2DEC(MID($C29,3,10))/256),2)</f>
        <v>0</v>
      </c>
      <c r="L29" s="15">
        <f>MOD(INT(HEX2DEC(MID($C29,3,10))/128),2)</f>
        <v>0</v>
      </c>
      <c r="M29" s="15">
        <f>MOD(INT(HEX2DEC(MID($C29,3,10))/64),2)</f>
        <v>0</v>
      </c>
      <c r="N29" s="15">
        <f>MOD(INT(HEX2DEC(MID($C29,3,10))/32),2)</f>
        <v>0</v>
      </c>
      <c r="O29" s="16">
        <f>MOD(INT(HEX2DEC(MID($C29,3,10))/16),2)</f>
        <v>0</v>
      </c>
      <c r="P29" s="16">
        <f>MOD(INT(HEX2DEC(MID($C29,3,10))/8),2)</f>
        <v>0</v>
      </c>
      <c r="Q29" s="17">
        <f>MOD(INT(HEX2DEC(MID($C29,3,10))/4),2)</f>
        <v>1</v>
      </c>
      <c r="R29" s="17">
        <f>MOD(INT(HEX2DEC(MID($C29,3,10))/2),2)</f>
        <v>0</v>
      </c>
      <c r="S29" s="17">
        <f>MOD(INT(HEX2DEC(MID($C29,3,10))/1),2)</f>
        <v>0</v>
      </c>
      <c r="T29" s="18" t="str">
        <f>"0x"&amp;DEC2HEX(INT(HEX2DEC(MID($C29,3,10))/32),3)</f>
        <v>0x080</v>
      </c>
      <c r="U29" s="18" t="str">
        <f>O29&amp;P29</f>
        <v>00</v>
      </c>
      <c r="V29" s="18" t="str">
        <f>Q29&amp;R29&amp;S29</f>
        <v>100</v>
      </c>
      <c r="W29" s="18" t="s">
        <v>22</v>
      </c>
      <c r="X29" s="18" t="s">
        <v>16</v>
      </c>
      <c r="Y29" s="18" t="s">
        <v>16</v>
      </c>
      <c r="Z29" s="18" t="s">
        <v>26</v>
      </c>
      <c r="AA29" s="19" t="s">
        <v>161</v>
      </c>
    </row>
    <row r="30" spans="1:27" x14ac:dyDescent="0.25">
      <c r="A30" s="3" t="s">
        <v>37</v>
      </c>
      <c r="B30" s="4" t="s">
        <v>12</v>
      </c>
      <c r="C30" s="5" t="s">
        <v>38</v>
      </c>
      <c r="D30" s="6">
        <f>MOD(INT(HEX2DEC(MID($C30,3,10))/32768),2)</f>
        <v>0</v>
      </c>
      <c r="E30" s="7">
        <f>MOD(INT(HEX2DEC(MID($C30,3,10))/16384),2)</f>
        <v>0</v>
      </c>
      <c r="F30" s="7">
        <f>MOD(INT(HEX2DEC(MID($C30,3,10))/8192),2)</f>
        <v>0</v>
      </c>
      <c r="G30" s="7">
        <f>MOD(INT(HEX2DEC(MID($C30,3,10))/4096),2)</f>
        <v>0</v>
      </c>
      <c r="H30" s="7">
        <f>MOD(INT(HEX2DEC(MID($C30,3,10))/2048),2)</f>
        <v>0</v>
      </c>
      <c r="I30" s="7">
        <f>MOD(INT(HEX2DEC(MID($C30,3,10))/1024),2)</f>
        <v>0</v>
      </c>
      <c r="J30" s="7">
        <f>MOD(INT(HEX2DEC(MID($C30,3,10))/512),2)</f>
        <v>0</v>
      </c>
      <c r="K30" s="7">
        <f>MOD(INT(HEX2DEC(MID($C30,3,10))/256),2)</f>
        <v>0</v>
      </c>
      <c r="L30" s="7">
        <f>MOD(INT(HEX2DEC(MID($C30,3,10))/128),2)</f>
        <v>0</v>
      </c>
      <c r="M30" s="7">
        <f>MOD(INT(HEX2DEC(MID($C30,3,10))/64),2)</f>
        <v>0</v>
      </c>
      <c r="N30" s="7">
        <f>MOD(INT(HEX2DEC(MID($C30,3,10))/32),2)</f>
        <v>0</v>
      </c>
      <c r="O30" s="8">
        <f>MOD(INT(HEX2DEC(MID($C30,3,10))/16),2)</f>
        <v>1</v>
      </c>
      <c r="P30" s="8">
        <f>MOD(INT(HEX2DEC(MID($C30,3,10))/8),2)</f>
        <v>0</v>
      </c>
      <c r="Q30" s="9">
        <f>MOD(INT(HEX2DEC(MID($C30,3,10))/4),2)</f>
        <v>1</v>
      </c>
      <c r="R30" s="9">
        <f>MOD(INT(HEX2DEC(MID($C30,3,10))/2),2)</f>
        <v>0</v>
      </c>
      <c r="S30" s="9">
        <f>MOD(INT(HEX2DEC(MID($C30,3,10))/1),2)</f>
        <v>0</v>
      </c>
      <c r="T30" s="10" t="str">
        <f>"0x"&amp;DEC2HEX(INT(HEX2DEC(MID($C30,3,10))/32),3)</f>
        <v>0x000</v>
      </c>
      <c r="U30" s="10" t="str">
        <f>O30&amp;P30</f>
        <v>10</v>
      </c>
      <c r="V30" s="10" t="str">
        <f>Q30&amp;R30&amp;S30</f>
        <v>100</v>
      </c>
      <c r="W30" s="10" t="s">
        <v>22</v>
      </c>
      <c r="X30" s="10" t="s">
        <v>16</v>
      </c>
      <c r="Y30" s="10" t="s">
        <v>16</v>
      </c>
      <c r="Z30" s="10" t="s">
        <v>132</v>
      </c>
      <c r="AA30" s="11" t="s">
        <v>23</v>
      </c>
    </row>
    <row r="31" spans="1:27" x14ac:dyDescent="0.25">
      <c r="A31" s="3"/>
      <c r="B31" s="12" t="s">
        <v>19</v>
      </c>
      <c r="C31" s="13" t="s">
        <v>68</v>
      </c>
      <c r="D31" s="14">
        <f>MOD(INT(HEX2DEC(MID($C31,3,10))/32768),2)</f>
        <v>0</v>
      </c>
      <c r="E31" s="15">
        <f>MOD(INT(HEX2DEC(MID($C31,3,10))/16384),2)</f>
        <v>0</v>
      </c>
      <c r="F31" s="15">
        <f>MOD(INT(HEX2DEC(MID($C31,3,10))/8192),2)</f>
        <v>1</v>
      </c>
      <c r="G31" s="15">
        <f>MOD(INT(HEX2DEC(MID($C31,3,10))/4096),2)</f>
        <v>0</v>
      </c>
      <c r="H31" s="15">
        <f>MOD(INT(HEX2DEC(MID($C31,3,10))/2048),2)</f>
        <v>0</v>
      </c>
      <c r="I31" s="15">
        <f>MOD(INT(HEX2DEC(MID($C31,3,10))/1024),2)</f>
        <v>0</v>
      </c>
      <c r="J31" s="15">
        <f>MOD(INT(HEX2DEC(MID($C31,3,10))/512),2)</f>
        <v>0</v>
      </c>
      <c r="K31" s="15">
        <f>MOD(INT(HEX2DEC(MID($C31,3,10))/256),2)</f>
        <v>0</v>
      </c>
      <c r="L31" s="15">
        <f>MOD(INT(HEX2DEC(MID($C31,3,10))/128),2)</f>
        <v>0</v>
      </c>
      <c r="M31" s="15">
        <f>MOD(INT(HEX2DEC(MID($C31,3,10))/64),2)</f>
        <v>0</v>
      </c>
      <c r="N31" s="15">
        <f>MOD(INT(HEX2DEC(MID($C31,3,10))/32),2)</f>
        <v>0</v>
      </c>
      <c r="O31" s="16">
        <f>MOD(INT(HEX2DEC(MID($C31,3,10))/16),2)</f>
        <v>0</v>
      </c>
      <c r="P31" s="16">
        <f>MOD(INT(HEX2DEC(MID($C31,3,10))/8),2)</f>
        <v>0</v>
      </c>
      <c r="Q31" s="17">
        <f>MOD(INT(HEX2DEC(MID($C31,3,10))/4),2)</f>
        <v>1</v>
      </c>
      <c r="R31" s="17">
        <f>MOD(INT(HEX2DEC(MID($C31,3,10))/2),2)</f>
        <v>0</v>
      </c>
      <c r="S31" s="17">
        <f>MOD(INT(HEX2DEC(MID($C31,3,10))/1),2)</f>
        <v>0</v>
      </c>
      <c r="T31" s="18" t="str">
        <f>"0x"&amp;DEC2HEX(INT(HEX2DEC(MID($C31,3,10))/32),3)</f>
        <v>0x100</v>
      </c>
      <c r="U31" s="18" t="str">
        <f>O31&amp;P31</f>
        <v>00</v>
      </c>
      <c r="V31" s="18" t="str">
        <f>Q31&amp;R31&amp;S31</f>
        <v>100</v>
      </c>
      <c r="W31" s="18" t="s">
        <v>22</v>
      </c>
      <c r="X31" s="18" t="s">
        <v>16</v>
      </c>
      <c r="Y31" s="18" t="s">
        <v>16</v>
      </c>
      <c r="Z31" s="18" t="s">
        <v>32</v>
      </c>
      <c r="AA31" s="19" t="s">
        <v>162</v>
      </c>
    </row>
    <row r="32" spans="1:27" x14ac:dyDescent="0.25">
      <c r="A32" s="3" t="s">
        <v>41</v>
      </c>
      <c r="B32" s="4" t="s">
        <v>12</v>
      </c>
      <c r="C32" s="5" t="s">
        <v>42</v>
      </c>
      <c r="D32" s="6">
        <f>MOD(INT(HEX2DEC(MID($C32,3,10))/32768),2)</f>
        <v>0</v>
      </c>
      <c r="E32" s="7">
        <f>MOD(INT(HEX2DEC(MID($C32,3,10))/16384),2)</f>
        <v>0</v>
      </c>
      <c r="F32" s="7">
        <f>MOD(INT(HEX2DEC(MID($C32,3,10))/8192),2)</f>
        <v>0</v>
      </c>
      <c r="G32" s="7">
        <f>MOD(INT(HEX2DEC(MID($C32,3,10))/4096),2)</f>
        <v>0</v>
      </c>
      <c r="H32" s="7">
        <f>MOD(INT(HEX2DEC(MID($C32,3,10))/2048),2)</f>
        <v>0</v>
      </c>
      <c r="I32" s="7">
        <f>MOD(INT(HEX2DEC(MID($C32,3,10))/1024),2)</f>
        <v>0</v>
      </c>
      <c r="J32" s="7">
        <f>MOD(INT(HEX2DEC(MID($C32,3,10))/512),2)</f>
        <v>0</v>
      </c>
      <c r="K32" s="7">
        <f>MOD(INT(HEX2DEC(MID($C32,3,10))/256),2)</f>
        <v>0</v>
      </c>
      <c r="L32" s="7">
        <f>MOD(INT(HEX2DEC(MID($C32,3,10))/128),2)</f>
        <v>0</v>
      </c>
      <c r="M32" s="7">
        <f>MOD(INT(HEX2DEC(MID($C32,3,10))/64),2)</f>
        <v>0</v>
      </c>
      <c r="N32" s="7">
        <f>MOD(INT(HEX2DEC(MID($C32,3,10))/32),2)</f>
        <v>0</v>
      </c>
      <c r="O32" s="8">
        <f>MOD(INT(HEX2DEC(MID($C32,3,10))/16),2)</f>
        <v>1</v>
      </c>
      <c r="P32" s="8">
        <f>MOD(INT(HEX2DEC(MID($C32,3,10))/8),2)</f>
        <v>1</v>
      </c>
      <c r="Q32" s="9">
        <f>MOD(INT(HEX2DEC(MID($C32,3,10))/4),2)</f>
        <v>0</v>
      </c>
      <c r="R32" s="9">
        <f>MOD(INT(HEX2DEC(MID($C32,3,10))/2),2)</f>
        <v>0</v>
      </c>
      <c r="S32" s="9">
        <f>MOD(INT(HEX2DEC(MID($C32,3,10))/1),2)</f>
        <v>0</v>
      </c>
      <c r="T32" s="10" t="str">
        <f>"0x"&amp;DEC2HEX(INT(HEX2DEC(MID($C32,3,10))/32),3)</f>
        <v>0x000</v>
      </c>
      <c r="U32" s="10" t="str">
        <f>O32&amp;P32</f>
        <v>11</v>
      </c>
      <c r="V32" s="10" t="str">
        <f>Q32&amp;R32&amp;S32</f>
        <v>000</v>
      </c>
      <c r="W32" s="10" t="s">
        <v>22</v>
      </c>
      <c r="X32" s="10" t="s">
        <v>16</v>
      </c>
      <c r="Y32" s="10" t="s">
        <v>16</v>
      </c>
      <c r="Z32" s="10" t="s">
        <v>136</v>
      </c>
      <c r="AA32" s="11" t="s">
        <v>23</v>
      </c>
    </row>
    <row r="33" spans="1:27" x14ac:dyDescent="0.25">
      <c r="A33" s="3"/>
      <c r="B33" s="12" t="s">
        <v>19</v>
      </c>
      <c r="C33" s="13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/>
      <c r="P33" s="16"/>
      <c r="Q33" s="17"/>
      <c r="R33" s="17"/>
      <c r="S33" s="17"/>
      <c r="T33" s="18"/>
      <c r="U33" s="18"/>
      <c r="V33" s="18"/>
      <c r="W33" s="18"/>
      <c r="X33" s="18"/>
      <c r="Y33" s="18"/>
      <c r="Z33" s="18"/>
      <c r="AA33" s="19"/>
    </row>
    <row r="34" spans="1:27" x14ac:dyDescent="0.25">
      <c r="A34" s="3" t="s">
        <v>45</v>
      </c>
      <c r="B34" s="4" t="s">
        <v>12</v>
      </c>
      <c r="C34" s="5" t="s">
        <v>46</v>
      </c>
      <c r="D34" s="6">
        <f>MOD(INT(HEX2DEC(MID($C34,3,10))/32768),2)</f>
        <v>0</v>
      </c>
      <c r="E34" s="7">
        <f>MOD(INT(HEX2DEC(MID($C34,3,10))/16384),2)</f>
        <v>0</v>
      </c>
      <c r="F34" s="7">
        <f>MOD(INT(HEX2DEC(MID($C34,3,10))/8192),2)</f>
        <v>0</v>
      </c>
      <c r="G34" s="7">
        <f>MOD(INT(HEX2DEC(MID($C34,3,10))/4096),2)</f>
        <v>0</v>
      </c>
      <c r="H34" s="7">
        <f>MOD(INT(HEX2DEC(MID($C34,3,10))/2048),2)</f>
        <v>0</v>
      </c>
      <c r="I34" s="7">
        <f>MOD(INT(HEX2DEC(MID($C34,3,10))/1024),2)</f>
        <v>0</v>
      </c>
      <c r="J34" s="7">
        <f>MOD(INT(HEX2DEC(MID($C34,3,10))/512),2)</f>
        <v>0</v>
      </c>
      <c r="K34" s="7">
        <f>MOD(INT(HEX2DEC(MID($C34,3,10))/256),2)</f>
        <v>0</v>
      </c>
      <c r="L34" s="7">
        <f>MOD(INT(HEX2DEC(MID($C34,3,10))/128),2)</f>
        <v>0</v>
      </c>
      <c r="M34" s="7">
        <f>MOD(INT(HEX2DEC(MID($C34,3,10))/64),2)</f>
        <v>0</v>
      </c>
      <c r="N34" s="7">
        <f>MOD(INT(HEX2DEC(MID($C34,3,10))/32),2)</f>
        <v>0</v>
      </c>
      <c r="O34" s="8">
        <f>MOD(INT(HEX2DEC(MID($C34,3,10))/16),2)</f>
        <v>1</v>
      </c>
      <c r="P34" s="8">
        <f>MOD(INT(HEX2DEC(MID($C34,3,10))/8),2)</f>
        <v>1</v>
      </c>
      <c r="Q34" s="9">
        <f>MOD(INT(HEX2DEC(MID($C34,3,10))/4),2)</f>
        <v>1</v>
      </c>
      <c r="R34" s="9">
        <f>MOD(INT(HEX2DEC(MID($C34,3,10))/2),2)</f>
        <v>0</v>
      </c>
      <c r="S34" s="9">
        <f>MOD(INT(HEX2DEC(MID($C34,3,10))/1),2)</f>
        <v>0</v>
      </c>
      <c r="T34" s="10" t="str">
        <f>"0x"&amp;DEC2HEX(INT(HEX2DEC(MID($C34,3,10))/32),3)</f>
        <v>0x000</v>
      </c>
      <c r="U34" s="10" t="str">
        <f>O34&amp;P34</f>
        <v>11</v>
      </c>
      <c r="V34" s="10" t="str">
        <f>Q34&amp;R34&amp;S34</f>
        <v>100</v>
      </c>
      <c r="W34" s="10" t="s">
        <v>22</v>
      </c>
      <c r="X34" s="10" t="s">
        <v>16</v>
      </c>
      <c r="Y34" s="10" t="s">
        <v>16</v>
      </c>
      <c r="Z34" s="10" t="s">
        <v>136</v>
      </c>
      <c r="AA34" s="11" t="s">
        <v>23</v>
      </c>
    </row>
    <row r="35" spans="1:27" x14ac:dyDescent="0.25">
      <c r="A35" s="3"/>
      <c r="B35" s="12" t="s">
        <v>19</v>
      </c>
      <c r="C35" s="13" t="s">
        <v>70</v>
      </c>
      <c r="D35" s="14">
        <f>MOD(INT(HEX2DEC(MID($C35,3,10))/32768),2)</f>
        <v>0</v>
      </c>
      <c r="E35" s="15">
        <f>MOD(INT(HEX2DEC(MID($C35,3,10))/16384),2)</f>
        <v>0</v>
      </c>
      <c r="F35" s="15">
        <f>MOD(INT(HEX2DEC(MID($C35,3,10))/8192),2)</f>
        <v>1</v>
      </c>
      <c r="G35" s="15">
        <f>MOD(INT(HEX2DEC(MID($C35,3,10))/4096),2)</f>
        <v>0</v>
      </c>
      <c r="H35" s="15">
        <f>MOD(INT(HEX2DEC(MID($C35,3,10))/2048),2)</f>
        <v>0</v>
      </c>
      <c r="I35" s="15">
        <f>MOD(INT(HEX2DEC(MID($C35,3,10))/1024),2)</f>
        <v>0</v>
      </c>
      <c r="J35" s="15">
        <f>MOD(INT(HEX2DEC(MID($C35,3,10))/512),2)</f>
        <v>0</v>
      </c>
      <c r="K35" s="15">
        <f>MOD(INT(HEX2DEC(MID($C35,3,10))/256),2)</f>
        <v>0</v>
      </c>
      <c r="L35" s="15">
        <f>MOD(INT(HEX2DEC(MID($C35,3,10))/128),2)</f>
        <v>1</v>
      </c>
      <c r="M35" s="15">
        <f>MOD(INT(HEX2DEC(MID($C35,3,10))/64),2)</f>
        <v>0</v>
      </c>
      <c r="N35" s="15">
        <f>MOD(INT(HEX2DEC(MID($C35,3,10))/32),2)</f>
        <v>0</v>
      </c>
      <c r="O35" s="16">
        <f>MOD(INT(HEX2DEC(MID($C35,3,10))/16),2)</f>
        <v>0</v>
      </c>
      <c r="P35" s="16">
        <f>MOD(INT(HEX2DEC(MID($C35,3,10))/8),2)</f>
        <v>0</v>
      </c>
      <c r="Q35" s="17">
        <f>MOD(INT(HEX2DEC(MID($C35,3,10))/4),2)</f>
        <v>1</v>
      </c>
      <c r="R35" s="17">
        <f>MOD(INT(HEX2DEC(MID($C35,3,10))/2),2)</f>
        <v>0</v>
      </c>
      <c r="S35" s="17">
        <f>MOD(INT(HEX2DEC(MID($C35,3,10))/1),2)</f>
        <v>0</v>
      </c>
      <c r="T35" s="18" t="str">
        <f>"0x"&amp;DEC2HEX(INT(HEX2DEC(MID($C35,3,10))/32),3)</f>
        <v>0x104</v>
      </c>
      <c r="U35" s="18" t="str">
        <f>O35&amp;P35</f>
        <v>00</v>
      </c>
      <c r="V35" s="18" t="str">
        <f>Q35&amp;R35&amp;S35</f>
        <v>100</v>
      </c>
      <c r="W35" s="18" t="s">
        <v>22</v>
      </c>
      <c r="X35" s="18" t="s">
        <v>16</v>
      </c>
      <c r="Y35" s="18" t="s">
        <v>16</v>
      </c>
      <c r="Z35" s="18" t="s">
        <v>43</v>
      </c>
      <c r="AA35" s="19" t="s">
        <v>163</v>
      </c>
    </row>
    <row r="36" spans="1:27" x14ac:dyDescent="0.25">
      <c r="A36" s="3" t="s">
        <v>49</v>
      </c>
      <c r="B36" s="4" t="s">
        <v>12</v>
      </c>
      <c r="C36" s="5" t="s">
        <v>50</v>
      </c>
      <c r="D36" s="6">
        <f>MOD(INT(HEX2DEC(MID($C36,3,10))/32768),2)</f>
        <v>0</v>
      </c>
      <c r="E36" s="7">
        <f>MOD(INT(HEX2DEC(MID($C36,3,10))/16384),2)</f>
        <v>0</v>
      </c>
      <c r="F36" s="7">
        <f>MOD(INT(HEX2DEC(MID($C36,3,10))/8192),2)</f>
        <v>0</v>
      </c>
      <c r="G36" s="7">
        <f>MOD(INT(HEX2DEC(MID($C36,3,10))/4096),2)</f>
        <v>0</v>
      </c>
      <c r="H36" s="7">
        <f>MOD(INT(HEX2DEC(MID($C36,3,10))/2048),2)</f>
        <v>0</v>
      </c>
      <c r="I36" s="7">
        <f>MOD(INT(HEX2DEC(MID($C36,3,10))/1024),2)</f>
        <v>0</v>
      </c>
      <c r="J36" s="7">
        <f>MOD(INT(HEX2DEC(MID($C36,3,10))/512),2)</f>
        <v>0</v>
      </c>
      <c r="K36" s="7">
        <f>MOD(INT(HEX2DEC(MID($C36,3,10))/256),2)</f>
        <v>0</v>
      </c>
      <c r="L36" s="7">
        <f>MOD(INT(HEX2DEC(MID($C36,3,10))/128),2)</f>
        <v>0</v>
      </c>
      <c r="M36" s="7">
        <f>MOD(INT(HEX2DEC(MID($C36,3,10))/64),2)</f>
        <v>0</v>
      </c>
      <c r="N36" s="7">
        <f>MOD(INT(HEX2DEC(MID($C36,3,10))/32),2)</f>
        <v>1</v>
      </c>
      <c r="O36" s="8">
        <f>MOD(INT(HEX2DEC(MID($C36,3,10))/16),2)</f>
        <v>0</v>
      </c>
      <c r="P36" s="8">
        <f>MOD(INT(HEX2DEC(MID($C36,3,10))/8),2)</f>
        <v>0</v>
      </c>
      <c r="Q36" s="9">
        <f>MOD(INT(HEX2DEC(MID($C36,3,10))/4),2)</f>
        <v>0</v>
      </c>
      <c r="R36" s="9">
        <f>MOD(INT(HEX2DEC(MID($C36,3,10))/2),2)</f>
        <v>0</v>
      </c>
      <c r="S36" s="9">
        <f>MOD(INT(HEX2DEC(MID($C36,3,10))/1),2)</f>
        <v>0</v>
      </c>
      <c r="T36" s="10" t="str">
        <f>"0x"&amp;DEC2HEX(INT(HEX2DEC(MID($C36,3,10))/32),3)</f>
        <v>0x001</v>
      </c>
      <c r="U36" s="10" t="str">
        <f>O36&amp;P36</f>
        <v>00</v>
      </c>
      <c r="V36" s="10" t="str">
        <f>Q36&amp;R36&amp;S36</f>
        <v>000</v>
      </c>
      <c r="W36" s="10" t="s">
        <v>22</v>
      </c>
      <c r="X36" s="10" t="s">
        <v>16</v>
      </c>
      <c r="Y36" s="10" t="s">
        <v>16</v>
      </c>
      <c r="Z36" s="10" t="s">
        <v>17</v>
      </c>
      <c r="AA36" s="11" t="s">
        <v>23</v>
      </c>
    </row>
    <row r="37" spans="1:27" x14ac:dyDescent="0.25">
      <c r="A37" s="3"/>
      <c r="B37" s="12" t="s">
        <v>19</v>
      </c>
      <c r="C37" s="13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6"/>
      <c r="Q37" s="17"/>
      <c r="R37" s="17"/>
      <c r="S37" s="17"/>
      <c r="T37" s="18"/>
      <c r="U37" s="18"/>
      <c r="V37" s="18"/>
      <c r="W37" s="18"/>
      <c r="X37" s="18"/>
      <c r="Y37" s="18"/>
      <c r="Z37" s="18"/>
      <c r="AA37" s="19"/>
    </row>
    <row r="38" spans="1:27" x14ac:dyDescent="0.25">
      <c r="A38" s="3" t="s">
        <v>53</v>
      </c>
      <c r="B38" s="4" t="s">
        <v>12</v>
      </c>
      <c r="C38" s="5" t="s">
        <v>54</v>
      </c>
      <c r="D38" s="6">
        <f>MOD(INT(HEX2DEC(MID($C38,3,10))/32768),2)</f>
        <v>0</v>
      </c>
      <c r="E38" s="7">
        <f>MOD(INT(HEX2DEC(MID($C38,3,10))/16384),2)</f>
        <v>0</v>
      </c>
      <c r="F38" s="7">
        <f>MOD(INT(HEX2DEC(MID($C38,3,10))/8192),2)</f>
        <v>0</v>
      </c>
      <c r="G38" s="7">
        <f>MOD(INT(HEX2DEC(MID($C38,3,10))/4096),2)</f>
        <v>0</v>
      </c>
      <c r="H38" s="7">
        <f>MOD(INT(HEX2DEC(MID($C38,3,10))/2048),2)</f>
        <v>0</v>
      </c>
      <c r="I38" s="7">
        <f>MOD(INT(HEX2DEC(MID($C38,3,10))/1024),2)</f>
        <v>0</v>
      </c>
      <c r="J38" s="7">
        <f>MOD(INT(HEX2DEC(MID($C38,3,10))/512),2)</f>
        <v>0</v>
      </c>
      <c r="K38" s="7">
        <f>MOD(INT(HEX2DEC(MID($C38,3,10))/256),2)</f>
        <v>0</v>
      </c>
      <c r="L38" s="7">
        <f>MOD(INT(HEX2DEC(MID($C38,3,10))/128),2)</f>
        <v>0</v>
      </c>
      <c r="M38" s="7">
        <f>MOD(INT(HEX2DEC(MID($C38,3,10))/64),2)</f>
        <v>0</v>
      </c>
      <c r="N38" s="7">
        <f>MOD(INT(HEX2DEC(MID($C38,3,10))/32),2)</f>
        <v>1</v>
      </c>
      <c r="O38" s="8">
        <f>MOD(INT(HEX2DEC(MID($C38,3,10))/16),2)</f>
        <v>0</v>
      </c>
      <c r="P38" s="8">
        <f>MOD(INT(HEX2DEC(MID($C38,3,10))/8),2)</f>
        <v>0</v>
      </c>
      <c r="Q38" s="9">
        <f>MOD(INT(HEX2DEC(MID($C38,3,10))/4),2)</f>
        <v>1</v>
      </c>
      <c r="R38" s="9">
        <f>MOD(INT(HEX2DEC(MID($C38,3,10))/2),2)</f>
        <v>0</v>
      </c>
      <c r="S38" s="9">
        <f>MOD(INT(HEX2DEC(MID($C38,3,10))/1),2)</f>
        <v>0</v>
      </c>
      <c r="T38" s="10" t="str">
        <f>"0x"&amp;DEC2HEX(INT(HEX2DEC(MID($C38,3,10))/32),3)</f>
        <v>0x001</v>
      </c>
      <c r="U38" s="10" t="str">
        <f>O38&amp;P38</f>
        <v>00</v>
      </c>
      <c r="V38" s="10" t="str">
        <f>Q38&amp;R38&amp;S38</f>
        <v>100</v>
      </c>
      <c r="W38" s="10" t="s">
        <v>22</v>
      </c>
      <c r="X38" s="10" t="s">
        <v>16</v>
      </c>
      <c r="Y38" s="10" t="s">
        <v>16</v>
      </c>
      <c r="Z38" s="10" t="s">
        <v>17</v>
      </c>
      <c r="AA38" s="11" t="s">
        <v>23</v>
      </c>
    </row>
    <row r="39" spans="1:27" x14ac:dyDescent="0.25">
      <c r="A39" s="3"/>
      <c r="B39" s="12" t="s">
        <v>19</v>
      </c>
      <c r="C39" s="13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6"/>
      <c r="P39" s="16"/>
      <c r="Q39" s="17"/>
      <c r="R39" s="17"/>
      <c r="S39" s="17"/>
      <c r="T39" s="18"/>
      <c r="U39" s="18"/>
      <c r="V39" s="18"/>
      <c r="W39" s="18"/>
      <c r="X39" s="18"/>
      <c r="Y39" s="18"/>
      <c r="Z39" s="18"/>
      <c r="AA39" s="19"/>
    </row>
    <row r="40" spans="1:27" x14ac:dyDescent="0.25">
      <c r="A40" s="3" t="s">
        <v>55</v>
      </c>
      <c r="B40" s="4" t="s">
        <v>12</v>
      </c>
      <c r="C40" s="5" t="s">
        <v>56</v>
      </c>
      <c r="D40" s="6">
        <f>MOD(INT(HEX2DEC(MID($C40,3,10))/32768),2)</f>
        <v>0</v>
      </c>
      <c r="E40" s="7">
        <f>MOD(INT(HEX2DEC(MID($C40,3,10))/16384),2)</f>
        <v>0</v>
      </c>
      <c r="F40" s="7">
        <f>MOD(INT(HEX2DEC(MID($C40,3,10))/8192),2)</f>
        <v>0</v>
      </c>
      <c r="G40" s="7">
        <f>MOD(INT(HEX2DEC(MID($C40,3,10))/4096),2)</f>
        <v>0</v>
      </c>
      <c r="H40" s="7">
        <f>MOD(INT(HEX2DEC(MID($C40,3,10))/2048),2)</f>
        <v>0</v>
      </c>
      <c r="I40" s="7">
        <f>MOD(INT(HEX2DEC(MID($C40,3,10))/1024),2)</f>
        <v>0</v>
      </c>
      <c r="J40" s="7">
        <f>MOD(INT(HEX2DEC(MID($C40,3,10))/512),2)</f>
        <v>0</v>
      </c>
      <c r="K40" s="7">
        <f>MOD(INT(HEX2DEC(MID($C40,3,10))/256),2)</f>
        <v>0</v>
      </c>
      <c r="L40" s="7">
        <f>MOD(INT(HEX2DEC(MID($C40,3,10))/128),2)</f>
        <v>0</v>
      </c>
      <c r="M40" s="7">
        <f>MOD(INT(HEX2DEC(MID($C40,3,10))/64),2)</f>
        <v>0</v>
      </c>
      <c r="N40" s="7">
        <f>MOD(INT(HEX2DEC(MID($C40,3,10))/32),2)</f>
        <v>1</v>
      </c>
      <c r="O40" s="8">
        <f>MOD(INT(HEX2DEC(MID($C40,3,10))/16),2)</f>
        <v>0</v>
      </c>
      <c r="P40" s="8">
        <f>MOD(INT(HEX2DEC(MID($C40,3,10))/8),2)</f>
        <v>1</v>
      </c>
      <c r="Q40" s="9">
        <f>MOD(INT(HEX2DEC(MID($C40,3,10))/4),2)</f>
        <v>0</v>
      </c>
      <c r="R40" s="9">
        <f>MOD(INT(HEX2DEC(MID($C40,3,10))/2),2)</f>
        <v>0</v>
      </c>
      <c r="S40" s="9">
        <f>MOD(INT(HEX2DEC(MID($C40,3,10))/1),2)</f>
        <v>0</v>
      </c>
      <c r="T40" s="10" t="str">
        <f>"0x"&amp;DEC2HEX(INT(HEX2DEC(MID($C40,3,10))/32),3)</f>
        <v>0x001</v>
      </c>
      <c r="U40" s="10" t="str">
        <f>O40&amp;P40</f>
        <v>01</v>
      </c>
      <c r="V40" s="10" t="str">
        <f>Q40&amp;R40&amp;S40</f>
        <v>000</v>
      </c>
      <c r="W40" s="10" t="s">
        <v>22</v>
      </c>
      <c r="X40" s="10" t="s">
        <v>16</v>
      </c>
      <c r="Y40" s="10" t="s">
        <v>16</v>
      </c>
      <c r="Z40" s="10" t="s">
        <v>57</v>
      </c>
      <c r="AA40" s="11" t="s">
        <v>23</v>
      </c>
    </row>
    <row r="41" spans="1:27" x14ac:dyDescent="0.25">
      <c r="A41" s="3"/>
      <c r="B41" s="12" t="s">
        <v>19</v>
      </c>
      <c r="C41" s="13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6"/>
      <c r="P41" s="16"/>
      <c r="Q41" s="17"/>
      <c r="R41" s="17"/>
      <c r="S41" s="17"/>
      <c r="T41" s="18"/>
      <c r="U41" s="18"/>
      <c r="V41" s="18"/>
      <c r="W41" s="18"/>
      <c r="X41" s="18"/>
      <c r="Y41" s="18"/>
      <c r="Z41" s="18"/>
      <c r="AA41" s="19"/>
    </row>
    <row r="42" spans="1:27" x14ac:dyDescent="0.25">
      <c r="A42" s="3" t="s">
        <v>59</v>
      </c>
      <c r="B42" s="4" t="s">
        <v>12</v>
      </c>
      <c r="C42" s="5" t="s">
        <v>60</v>
      </c>
      <c r="D42" s="6">
        <f>MOD(INT(HEX2DEC(MID($C42,3,10))/32768),2)</f>
        <v>0</v>
      </c>
      <c r="E42" s="7">
        <f>MOD(INT(HEX2DEC(MID($C42,3,10))/16384),2)</f>
        <v>0</v>
      </c>
      <c r="F42" s="7">
        <f>MOD(INT(HEX2DEC(MID($C42,3,10))/8192),2)</f>
        <v>0</v>
      </c>
      <c r="G42" s="7">
        <f>MOD(INT(HEX2DEC(MID($C42,3,10))/4096),2)</f>
        <v>0</v>
      </c>
      <c r="H42" s="7">
        <f>MOD(INT(HEX2DEC(MID($C42,3,10))/2048),2)</f>
        <v>0</v>
      </c>
      <c r="I42" s="7">
        <f>MOD(INT(HEX2DEC(MID($C42,3,10))/1024),2)</f>
        <v>0</v>
      </c>
      <c r="J42" s="7">
        <f>MOD(INT(HEX2DEC(MID($C42,3,10))/512),2)</f>
        <v>0</v>
      </c>
      <c r="K42" s="7">
        <f>MOD(INT(HEX2DEC(MID($C42,3,10))/256),2)</f>
        <v>0</v>
      </c>
      <c r="L42" s="7">
        <f>MOD(INT(HEX2DEC(MID($C42,3,10))/128),2)</f>
        <v>0</v>
      </c>
      <c r="M42" s="7">
        <f>MOD(INT(HEX2DEC(MID($C42,3,10))/64),2)</f>
        <v>0</v>
      </c>
      <c r="N42" s="7">
        <f>MOD(INT(HEX2DEC(MID($C42,3,10))/32),2)</f>
        <v>1</v>
      </c>
      <c r="O42" s="8">
        <f>MOD(INT(HEX2DEC(MID($C42,3,10))/16),2)</f>
        <v>0</v>
      </c>
      <c r="P42" s="8">
        <f>MOD(INT(HEX2DEC(MID($C42,3,10))/8),2)</f>
        <v>1</v>
      </c>
      <c r="Q42" s="9">
        <f>MOD(INT(HEX2DEC(MID($C42,3,10))/4),2)</f>
        <v>1</v>
      </c>
      <c r="R42" s="9">
        <f>MOD(INT(HEX2DEC(MID($C42,3,10))/2),2)</f>
        <v>0</v>
      </c>
      <c r="S42" s="9">
        <f>MOD(INT(HEX2DEC(MID($C42,3,10))/1),2)</f>
        <v>0</v>
      </c>
      <c r="T42" s="10" t="str">
        <f>"0x"&amp;DEC2HEX(INT(HEX2DEC(MID($C42,3,10))/32),3)</f>
        <v>0x001</v>
      </c>
      <c r="U42" s="10" t="str">
        <f>O42&amp;P42</f>
        <v>01</v>
      </c>
      <c r="V42" s="10" t="str">
        <f>Q42&amp;R42&amp;S42</f>
        <v>100</v>
      </c>
      <c r="W42" s="10" t="s">
        <v>22</v>
      </c>
      <c r="X42" s="10" t="s">
        <v>16</v>
      </c>
      <c r="Y42" s="10" t="s">
        <v>16</v>
      </c>
      <c r="Z42" s="10" t="s">
        <v>57</v>
      </c>
      <c r="AA42" s="11" t="s">
        <v>23</v>
      </c>
    </row>
    <row r="43" spans="1:27" x14ac:dyDescent="0.25">
      <c r="A43" s="3"/>
      <c r="B43" s="12" t="s">
        <v>19</v>
      </c>
      <c r="C43" s="13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6"/>
      <c r="P43" s="16"/>
      <c r="Q43" s="17"/>
      <c r="R43" s="17"/>
      <c r="S43" s="17"/>
      <c r="T43" s="18"/>
      <c r="U43" s="18"/>
      <c r="V43" s="18"/>
      <c r="W43" s="18"/>
      <c r="X43" s="18"/>
      <c r="Y43" s="18"/>
      <c r="Z43" s="18"/>
      <c r="AA43" s="19"/>
    </row>
    <row r="44" spans="1:27" x14ac:dyDescent="0.25">
      <c r="A44" s="3" t="s">
        <v>61</v>
      </c>
      <c r="B44" s="4" t="s">
        <v>12</v>
      </c>
      <c r="C44" s="5" t="s">
        <v>62</v>
      </c>
      <c r="D44" s="6">
        <f>MOD(INT(HEX2DEC(MID($C44,3,10))/32768),2)</f>
        <v>0</v>
      </c>
      <c r="E44" s="7">
        <f>MOD(INT(HEX2DEC(MID($C44,3,10))/16384),2)</f>
        <v>0</v>
      </c>
      <c r="F44" s="7">
        <f>MOD(INT(HEX2DEC(MID($C44,3,10))/8192),2)</f>
        <v>0</v>
      </c>
      <c r="G44" s="7">
        <f>MOD(INT(HEX2DEC(MID($C44,3,10))/4096),2)</f>
        <v>0</v>
      </c>
      <c r="H44" s="7">
        <f>MOD(INT(HEX2DEC(MID($C44,3,10))/2048),2)</f>
        <v>0</v>
      </c>
      <c r="I44" s="7">
        <f>MOD(INT(HEX2DEC(MID($C44,3,10))/1024),2)</f>
        <v>0</v>
      </c>
      <c r="J44" s="7">
        <f>MOD(INT(HEX2DEC(MID($C44,3,10))/512),2)</f>
        <v>0</v>
      </c>
      <c r="K44" s="7">
        <f>MOD(INT(HEX2DEC(MID($C44,3,10))/256),2)</f>
        <v>0</v>
      </c>
      <c r="L44" s="7">
        <f>MOD(INT(HEX2DEC(MID($C44,3,10))/128),2)</f>
        <v>0</v>
      </c>
      <c r="M44" s="7">
        <f>MOD(INT(HEX2DEC(MID($C44,3,10))/64),2)</f>
        <v>0</v>
      </c>
      <c r="N44" s="7">
        <f>MOD(INT(HEX2DEC(MID($C44,3,10))/32),2)</f>
        <v>1</v>
      </c>
      <c r="O44" s="8">
        <f>MOD(INT(HEX2DEC(MID($C44,3,10))/16),2)</f>
        <v>1</v>
      </c>
      <c r="P44" s="8">
        <f>MOD(INT(HEX2DEC(MID($C44,3,10))/8),2)</f>
        <v>0</v>
      </c>
      <c r="Q44" s="9">
        <f>MOD(INT(HEX2DEC(MID($C44,3,10))/4),2)</f>
        <v>0</v>
      </c>
      <c r="R44" s="9">
        <f>MOD(INT(HEX2DEC(MID($C44,3,10))/2),2)</f>
        <v>0</v>
      </c>
      <c r="S44" s="9">
        <f>MOD(INT(HEX2DEC(MID($C44,3,10))/1),2)</f>
        <v>0</v>
      </c>
      <c r="T44" s="10" t="str">
        <f>"0x"&amp;DEC2HEX(INT(HEX2DEC(MID($C44,3,10))/32),3)</f>
        <v>0x001</v>
      </c>
      <c r="U44" s="10" t="str">
        <f>O44&amp;P44</f>
        <v>10</v>
      </c>
      <c r="V44" s="10" t="str">
        <f>Q44&amp;R44&amp;S44</f>
        <v>000</v>
      </c>
      <c r="W44" s="10" t="s">
        <v>22</v>
      </c>
      <c r="X44" s="10" t="s">
        <v>16</v>
      </c>
      <c r="Y44" s="10" t="s">
        <v>16</v>
      </c>
      <c r="Z44" s="10" t="s">
        <v>159</v>
      </c>
      <c r="AA44" s="11" t="s">
        <v>23</v>
      </c>
    </row>
    <row r="45" spans="1:27" x14ac:dyDescent="0.25">
      <c r="A45" s="3"/>
      <c r="B45" s="12" t="s">
        <v>19</v>
      </c>
      <c r="C45" s="13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/>
      <c r="P45" s="16"/>
      <c r="Q45" s="17"/>
      <c r="R45" s="17"/>
      <c r="S45" s="17"/>
      <c r="T45" s="18"/>
      <c r="U45" s="18"/>
      <c r="V45" s="18"/>
      <c r="W45" s="18"/>
      <c r="X45" s="18"/>
      <c r="Y45" s="18"/>
      <c r="Z45" s="18"/>
      <c r="AA45" s="19"/>
    </row>
    <row r="46" spans="1:27" x14ac:dyDescent="0.25">
      <c r="A46" s="3" t="s">
        <v>72</v>
      </c>
      <c r="B46" s="4" t="s">
        <v>12</v>
      </c>
      <c r="C46" s="5" t="s">
        <v>73</v>
      </c>
      <c r="D46" s="6">
        <f>MOD(INT(HEX2DEC(MID($C46,3,10))/32768),2)</f>
        <v>0</v>
      </c>
      <c r="E46" s="7">
        <f>MOD(INT(HEX2DEC(MID($C46,3,10))/16384),2)</f>
        <v>0</v>
      </c>
      <c r="F46" s="7">
        <f>MOD(INT(HEX2DEC(MID($C46,3,10))/8192),2)</f>
        <v>0</v>
      </c>
      <c r="G46" s="7">
        <f>MOD(INT(HEX2DEC(MID($C46,3,10))/4096),2)</f>
        <v>0</v>
      </c>
      <c r="H46" s="7">
        <f>MOD(INT(HEX2DEC(MID($C46,3,10))/2048),2)</f>
        <v>0</v>
      </c>
      <c r="I46" s="7">
        <f>MOD(INT(HEX2DEC(MID($C46,3,10))/1024),2)</f>
        <v>0</v>
      </c>
      <c r="J46" s="7">
        <f>MOD(INT(HEX2DEC(MID($C46,3,10))/512),2)</f>
        <v>0</v>
      </c>
      <c r="K46" s="7">
        <f>MOD(INT(HEX2DEC(MID($C46,3,10))/256),2)</f>
        <v>0</v>
      </c>
      <c r="L46" s="7">
        <f>MOD(INT(HEX2DEC(MID($C46,3,10))/128),2)</f>
        <v>0</v>
      </c>
      <c r="M46" s="7">
        <f>MOD(INT(HEX2DEC(MID($C46,3,10))/64),2)</f>
        <v>0</v>
      </c>
      <c r="N46" s="7">
        <f>MOD(INT(HEX2DEC(MID($C46,3,10))/32),2)</f>
        <v>1</v>
      </c>
      <c r="O46" s="8">
        <f>MOD(INT(HEX2DEC(MID($C46,3,10))/16),2)</f>
        <v>1</v>
      </c>
      <c r="P46" s="8">
        <f>MOD(INT(HEX2DEC(MID($C46,3,10))/8),2)</f>
        <v>0</v>
      </c>
      <c r="Q46" s="9">
        <f>MOD(INT(HEX2DEC(MID($C46,3,10))/4),2)</f>
        <v>1</v>
      </c>
      <c r="R46" s="9">
        <f>MOD(INT(HEX2DEC(MID($C46,3,10))/2),2)</f>
        <v>0</v>
      </c>
      <c r="S46" s="9">
        <f>MOD(INT(HEX2DEC(MID($C46,3,10))/1),2)</f>
        <v>0</v>
      </c>
      <c r="T46" s="10" t="str">
        <f>"0x"&amp;DEC2HEX(INT(HEX2DEC(MID($C46,3,10))/32),3)</f>
        <v>0x001</v>
      </c>
      <c r="U46" s="10" t="str">
        <f>O46&amp;P46</f>
        <v>10</v>
      </c>
      <c r="V46" s="10" t="str">
        <f>Q46&amp;R46&amp;S46</f>
        <v>100</v>
      </c>
      <c r="W46" s="10" t="s">
        <v>22</v>
      </c>
      <c r="X46" s="10" t="s">
        <v>16</v>
      </c>
      <c r="Y46" s="10" t="s">
        <v>16</v>
      </c>
      <c r="Z46" s="10" t="s">
        <v>159</v>
      </c>
      <c r="AA46" s="11" t="s">
        <v>23</v>
      </c>
    </row>
    <row r="47" spans="1:27" x14ac:dyDescent="0.25">
      <c r="A47" s="3"/>
      <c r="B47" s="12" t="s">
        <v>19</v>
      </c>
      <c r="C47" s="13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/>
      <c r="P47" s="16"/>
      <c r="Q47" s="17"/>
      <c r="R47" s="17"/>
      <c r="S47" s="17"/>
      <c r="T47" s="18"/>
      <c r="U47" s="18"/>
      <c r="V47" s="18"/>
      <c r="W47" s="18"/>
      <c r="X47" s="18"/>
      <c r="Y47" s="18"/>
      <c r="Z47" s="18"/>
      <c r="AA47" s="19"/>
    </row>
    <row r="50" spans="1:13" x14ac:dyDescent="0.25">
      <c r="A50" s="20" t="s">
        <v>141</v>
      </c>
      <c r="B50" s="20" t="s">
        <v>74</v>
      </c>
      <c r="C50" s="20" t="s">
        <v>3</v>
      </c>
      <c r="D50" s="20" t="s">
        <v>75</v>
      </c>
      <c r="E50" s="20" t="s">
        <v>76</v>
      </c>
      <c r="F50" s="20" t="s">
        <v>77</v>
      </c>
      <c r="G50" s="20" t="s">
        <v>78</v>
      </c>
      <c r="H50" s="20" t="s">
        <v>79</v>
      </c>
      <c r="I50" s="20" t="s">
        <v>80</v>
      </c>
      <c r="J50" s="20" t="s">
        <v>81</v>
      </c>
      <c r="K50" s="20" t="s">
        <v>82</v>
      </c>
      <c r="L50" s="20" t="s">
        <v>83</v>
      </c>
      <c r="M50" s="20" t="s">
        <v>84</v>
      </c>
    </row>
    <row r="51" spans="1:13" x14ac:dyDescent="0.25">
      <c r="A51" s="23" t="s">
        <v>142</v>
      </c>
      <c r="B51" s="21">
        <v>0</v>
      </c>
      <c r="C51" s="21" t="s">
        <v>164</v>
      </c>
      <c r="D51" s="21">
        <v>0</v>
      </c>
      <c r="E51" s="21">
        <v>1</v>
      </c>
      <c r="F51" s="21" t="s">
        <v>98</v>
      </c>
      <c r="G51" s="21"/>
      <c r="H51" s="21"/>
      <c r="I51" s="21"/>
      <c r="J51" s="21" t="s">
        <v>99</v>
      </c>
      <c r="K51" s="21"/>
      <c r="L51" s="21"/>
      <c r="M51" s="21"/>
    </row>
    <row r="52" spans="1:13" x14ac:dyDescent="0.25">
      <c r="A52" s="23"/>
      <c r="B52" s="21">
        <v>1</v>
      </c>
      <c r="C52" s="21" t="s">
        <v>144</v>
      </c>
      <c r="D52" s="21">
        <v>0</v>
      </c>
      <c r="E52" s="21">
        <v>1</v>
      </c>
      <c r="F52" s="21" t="s">
        <v>86</v>
      </c>
      <c r="G52" s="21" t="s">
        <v>88</v>
      </c>
      <c r="H52" s="21" t="s">
        <v>88</v>
      </c>
      <c r="I52" s="21" t="s">
        <v>88</v>
      </c>
      <c r="J52" s="21" t="s">
        <v>89</v>
      </c>
      <c r="K52" s="21" t="s">
        <v>88</v>
      </c>
      <c r="L52" s="21" t="s">
        <v>88</v>
      </c>
      <c r="M52" s="21" t="s">
        <v>88</v>
      </c>
    </row>
    <row r="53" spans="1:13" x14ac:dyDescent="0.25">
      <c r="A53" s="23"/>
      <c r="B53" s="21">
        <v>2</v>
      </c>
      <c r="C53" s="21" t="s">
        <v>165</v>
      </c>
      <c r="D53" s="21">
        <v>0</v>
      </c>
      <c r="E53" s="21">
        <v>1</v>
      </c>
      <c r="F53" s="21" t="s">
        <v>88</v>
      </c>
      <c r="G53" s="21" t="s">
        <v>87</v>
      </c>
      <c r="H53" s="21" t="s">
        <v>88</v>
      </c>
      <c r="I53" s="21" t="s">
        <v>88</v>
      </c>
      <c r="J53" s="21" t="s">
        <v>88</v>
      </c>
      <c r="K53" s="21" t="s">
        <v>90</v>
      </c>
      <c r="L53" s="21" t="s">
        <v>88</v>
      </c>
      <c r="M53" s="21" t="s">
        <v>88</v>
      </c>
    </row>
    <row r="54" spans="1:13" x14ac:dyDescent="0.25">
      <c r="A54" s="23"/>
      <c r="B54" s="21">
        <v>3</v>
      </c>
      <c r="C54" s="21" t="s">
        <v>166</v>
      </c>
      <c r="D54" s="21">
        <v>1</v>
      </c>
      <c r="E54" s="21">
        <v>1</v>
      </c>
      <c r="F54" s="21" t="s">
        <v>86</v>
      </c>
      <c r="G54" s="21" t="s">
        <v>87</v>
      </c>
      <c r="H54" s="21" t="s">
        <v>88</v>
      </c>
      <c r="I54" s="21" t="s">
        <v>88</v>
      </c>
      <c r="J54" s="21" t="s">
        <v>89</v>
      </c>
      <c r="K54" s="21" t="s">
        <v>90</v>
      </c>
      <c r="L54" s="21" t="s">
        <v>88</v>
      </c>
      <c r="M54" s="21" t="s">
        <v>88</v>
      </c>
    </row>
    <row r="55" spans="1:13" x14ac:dyDescent="0.25">
      <c r="A55" s="23" t="s">
        <v>145</v>
      </c>
      <c r="B55" s="21">
        <v>4</v>
      </c>
      <c r="C55" s="21" t="s">
        <v>91</v>
      </c>
      <c r="D55" s="21">
        <v>0</v>
      </c>
      <c r="E55" s="21">
        <v>1</v>
      </c>
      <c r="F55" s="21" t="s">
        <v>92</v>
      </c>
      <c r="G55" s="21"/>
      <c r="H55" s="21"/>
      <c r="I55" s="21"/>
      <c r="J55" s="21" t="s">
        <v>93</v>
      </c>
      <c r="K55" s="21"/>
      <c r="L55" s="21"/>
      <c r="M55" s="21"/>
    </row>
    <row r="56" spans="1:13" x14ac:dyDescent="0.25">
      <c r="A56" s="23"/>
      <c r="B56" s="21">
        <v>5</v>
      </c>
      <c r="C56" s="21" t="s">
        <v>164</v>
      </c>
      <c r="D56" s="21">
        <v>0</v>
      </c>
      <c r="E56" s="21">
        <v>1</v>
      </c>
      <c r="F56" s="21" t="s">
        <v>100</v>
      </c>
      <c r="G56" s="21"/>
      <c r="H56" s="21"/>
      <c r="I56" s="21"/>
      <c r="J56" s="21" t="s">
        <v>101</v>
      </c>
      <c r="K56" s="21"/>
      <c r="L56" s="21"/>
      <c r="M56" s="21"/>
    </row>
    <row r="57" spans="1:13" x14ac:dyDescent="0.25">
      <c r="A57" s="23"/>
      <c r="B57" s="21">
        <v>6</v>
      </c>
      <c r="C57" s="21"/>
      <c r="D57" s="21"/>
      <c r="E57" s="21">
        <v>0</v>
      </c>
      <c r="F57" s="21"/>
      <c r="G57" s="21"/>
      <c r="H57" s="21"/>
      <c r="I57" s="21"/>
      <c r="J57" s="21"/>
      <c r="K57" s="21"/>
      <c r="L57" s="21"/>
      <c r="M57" s="21"/>
    </row>
    <row r="58" spans="1:13" x14ac:dyDescent="0.25">
      <c r="A58" s="23"/>
      <c r="B58" s="21">
        <v>7</v>
      </c>
      <c r="C58" s="21"/>
      <c r="D58" s="21"/>
      <c r="E58" s="21">
        <v>0</v>
      </c>
      <c r="F58" s="21"/>
      <c r="G58" s="21"/>
      <c r="H58" s="21"/>
      <c r="I58" s="21"/>
      <c r="J58" s="21"/>
      <c r="K58" s="21"/>
      <c r="L58" s="21"/>
      <c r="M58" s="21"/>
    </row>
    <row r="59" spans="1:13" x14ac:dyDescent="0.25">
      <c r="A59" s="23" t="s">
        <v>146</v>
      </c>
      <c r="B59" s="21">
        <v>8</v>
      </c>
      <c r="C59" s="21" t="s">
        <v>91</v>
      </c>
      <c r="D59" s="21">
        <v>0</v>
      </c>
      <c r="E59" s="21">
        <v>1</v>
      </c>
      <c r="F59" s="21" t="s">
        <v>94</v>
      </c>
      <c r="G59" s="21"/>
      <c r="H59" s="21"/>
      <c r="I59" s="21"/>
      <c r="J59" s="21" t="s">
        <v>95</v>
      </c>
      <c r="K59" s="21"/>
      <c r="L59" s="21"/>
      <c r="M59" s="21"/>
    </row>
    <row r="60" spans="1:13" x14ac:dyDescent="0.25">
      <c r="A60" s="23"/>
      <c r="B60" s="21">
        <v>9</v>
      </c>
      <c r="C60" s="21" t="s">
        <v>164</v>
      </c>
      <c r="D60" s="21">
        <v>0</v>
      </c>
      <c r="E60" s="21">
        <v>1</v>
      </c>
      <c r="F60" s="21" t="s">
        <v>102</v>
      </c>
      <c r="G60" s="21"/>
      <c r="H60" s="21"/>
      <c r="I60" s="21"/>
      <c r="J60" s="21" t="s">
        <v>103</v>
      </c>
      <c r="K60" s="21"/>
      <c r="L60" s="21"/>
      <c r="M60" s="21"/>
    </row>
    <row r="61" spans="1:13" x14ac:dyDescent="0.25">
      <c r="A61" s="23"/>
      <c r="B61" s="21" t="s">
        <v>104</v>
      </c>
      <c r="C61" s="21"/>
      <c r="D61" s="21"/>
      <c r="E61" s="21">
        <v>0</v>
      </c>
      <c r="F61" s="21"/>
      <c r="G61" s="21"/>
      <c r="H61" s="21"/>
      <c r="I61" s="21"/>
      <c r="J61" s="21"/>
      <c r="K61" s="21"/>
      <c r="L61" s="21"/>
      <c r="M61" s="21"/>
    </row>
    <row r="62" spans="1:13" x14ac:dyDescent="0.25">
      <c r="A62" s="23"/>
      <c r="B62" s="21" t="s">
        <v>105</v>
      </c>
      <c r="C62" s="21"/>
      <c r="D62" s="21"/>
      <c r="E62" s="21">
        <v>0</v>
      </c>
      <c r="F62" s="21"/>
      <c r="G62" s="21"/>
      <c r="H62" s="21"/>
      <c r="I62" s="21"/>
      <c r="J62" s="21"/>
      <c r="K62" s="21"/>
      <c r="L62" s="21"/>
      <c r="M62" s="21"/>
    </row>
    <row r="63" spans="1:13" x14ac:dyDescent="0.25">
      <c r="A63" s="23" t="s">
        <v>147</v>
      </c>
      <c r="B63" s="21" t="s">
        <v>106</v>
      </c>
      <c r="C63" s="21" t="s">
        <v>91</v>
      </c>
      <c r="D63" s="21">
        <v>0</v>
      </c>
      <c r="E63" s="21">
        <v>1</v>
      </c>
      <c r="F63" s="21" t="s">
        <v>96</v>
      </c>
      <c r="G63" s="21"/>
      <c r="H63" s="21"/>
      <c r="I63" s="21"/>
      <c r="J63" s="21" t="s">
        <v>97</v>
      </c>
      <c r="K63" s="21"/>
      <c r="L63" s="21"/>
      <c r="M63" s="21"/>
    </row>
    <row r="64" spans="1:13" x14ac:dyDescent="0.25">
      <c r="A64" s="23"/>
      <c r="B64" s="21" t="s">
        <v>75</v>
      </c>
      <c r="C64" s="21"/>
      <c r="D64" s="21"/>
      <c r="E64" s="21">
        <v>0</v>
      </c>
      <c r="F64" s="21"/>
      <c r="G64" s="21"/>
      <c r="H64" s="21"/>
      <c r="I64" s="21"/>
      <c r="J64" s="21"/>
      <c r="K64" s="21"/>
      <c r="L64" s="21"/>
      <c r="M64" s="21"/>
    </row>
    <row r="65" spans="1:13" x14ac:dyDescent="0.25">
      <c r="A65" s="23"/>
      <c r="B65" s="21" t="s">
        <v>107</v>
      </c>
      <c r="C65" s="21"/>
      <c r="D65" s="21"/>
      <c r="E65" s="21">
        <v>0</v>
      </c>
      <c r="F65" s="21"/>
      <c r="G65" s="21"/>
      <c r="H65" s="21"/>
      <c r="I65" s="21"/>
      <c r="J65" s="21"/>
      <c r="K65" s="21"/>
      <c r="L65" s="21"/>
      <c r="M65" s="21"/>
    </row>
    <row r="66" spans="1:13" x14ac:dyDescent="0.25">
      <c r="A66" s="23"/>
      <c r="B66" s="21" t="s">
        <v>108</v>
      </c>
      <c r="C66" s="21"/>
      <c r="D66" s="21"/>
      <c r="E66" s="21">
        <v>0</v>
      </c>
      <c r="F66" s="21"/>
      <c r="G66" s="21"/>
      <c r="H66" s="21"/>
      <c r="I66" s="21"/>
      <c r="J66" s="21"/>
      <c r="K66" s="21"/>
      <c r="L66" s="21"/>
      <c r="M66" s="21"/>
    </row>
    <row r="69" spans="1:3" x14ac:dyDescent="0.25">
      <c r="A69" s="20" t="s">
        <v>109</v>
      </c>
      <c r="B69" s="20" t="s">
        <v>110</v>
      </c>
      <c r="C69" s="20" t="s">
        <v>111</v>
      </c>
    </row>
    <row r="70" spans="1:3" x14ac:dyDescent="0.25">
      <c r="A70" s="22" t="s">
        <v>112</v>
      </c>
      <c r="B70" s="22" t="s">
        <v>113</v>
      </c>
      <c r="C70" s="22">
        <v>4104</v>
      </c>
    </row>
    <row r="71" spans="1:3" x14ac:dyDescent="0.25">
      <c r="A71" s="22" t="s">
        <v>114</v>
      </c>
      <c r="B71" s="22" t="s">
        <v>115</v>
      </c>
      <c r="C71" s="22">
        <v>8200</v>
      </c>
    </row>
    <row r="72" spans="1:3" x14ac:dyDescent="0.25">
      <c r="A72" s="22" t="s">
        <v>116</v>
      </c>
      <c r="B72" s="22" t="s">
        <v>117</v>
      </c>
      <c r="C72" s="22">
        <v>8328</v>
      </c>
    </row>
    <row r="73" spans="1:3" x14ac:dyDescent="0.25">
      <c r="A73" s="22" t="s">
        <v>118</v>
      </c>
      <c r="B73" s="22" t="s">
        <v>13</v>
      </c>
      <c r="C73" s="22">
        <v>0</v>
      </c>
    </row>
    <row r="74" spans="1:3" x14ac:dyDescent="0.25">
      <c r="A74" s="22" t="s">
        <v>119</v>
      </c>
      <c r="B74" s="22" t="s">
        <v>120</v>
      </c>
      <c r="C74" s="22">
        <v>34</v>
      </c>
    </row>
    <row r="75" spans="1:3" x14ac:dyDescent="0.25">
      <c r="A75" s="22" t="s">
        <v>121</v>
      </c>
      <c r="B75" s="22" t="s">
        <v>122</v>
      </c>
      <c r="C75" s="22">
        <v>512</v>
      </c>
    </row>
    <row r="76" spans="1:3" x14ac:dyDescent="0.25">
      <c r="A76" s="22" t="s">
        <v>123</v>
      </c>
      <c r="B76" s="22" t="s">
        <v>124</v>
      </c>
      <c r="C76" s="22">
        <v>546</v>
      </c>
    </row>
  </sheetData>
  <mergeCells count="39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F51:I51"/>
    <mergeCell ref="J51:M51"/>
    <mergeCell ref="A51:A54"/>
    <mergeCell ref="F55:I55"/>
    <mergeCell ref="J55:M55"/>
    <mergeCell ref="A55:A58"/>
    <mergeCell ref="F56:I56"/>
    <mergeCell ref="J56:M56"/>
    <mergeCell ref="F59:I59"/>
    <mergeCell ref="J59:M59"/>
    <mergeCell ref="A59:A62"/>
    <mergeCell ref="F60:I60"/>
    <mergeCell ref="J60:M60"/>
    <mergeCell ref="F63:I63"/>
    <mergeCell ref="J63:M63"/>
    <mergeCell ref="A63:A6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10" customWidth="1"/>
    <col min="4" max="19" width="4.3" customWidth="1"/>
    <col min="20" max="20" width="9.5" customWidth="1"/>
    <col min="22" max="22" width="10" customWidth="1"/>
    <col min="23" max="23" width="11" customWidth="1"/>
    <col min="24" max="24" width="6" customWidth="1"/>
    <col min="25" max="25" width="8" customWidth="1"/>
    <col min="26" max="26" width="9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>
        <v>15</v>
      </c>
      <c r="E1" s="2">
        <v>14</v>
      </c>
      <c r="F1" s="2">
        <v>13</v>
      </c>
      <c r="G1" s="2">
        <v>12</v>
      </c>
      <c r="H1" s="2">
        <v>11</v>
      </c>
      <c r="I1" s="2">
        <v>10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T1" s="1" t="s">
        <v>3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</row>
    <row r="2" spans="1:26" x14ac:dyDescent="0.25">
      <c r="A2" s="3" t="s">
        <v>11</v>
      </c>
      <c r="B2" s="4" t="s">
        <v>12</v>
      </c>
      <c r="C2" s="5" t="s">
        <v>13</v>
      </c>
      <c r="D2" s="6">
        <f>MOD(INT(HEX2DEC(MID($C2,3,10))/32768),2)</f>
        <v>0</v>
      </c>
      <c r="E2" s="7">
        <f>MOD(INT(HEX2DEC(MID($C2,3,10))/16384),2)</f>
        <v>0</v>
      </c>
      <c r="F2" s="7">
        <f>MOD(INT(HEX2DEC(MID($C2,3,10))/8192),2)</f>
        <v>0</v>
      </c>
      <c r="G2" s="7">
        <f>MOD(INT(HEX2DEC(MID($C2,3,10))/4096),2)</f>
        <v>0</v>
      </c>
      <c r="H2" s="7">
        <f>MOD(INT(HEX2DEC(MID($C2,3,10))/2048),2)</f>
        <v>0</v>
      </c>
      <c r="I2" s="7">
        <f>MOD(INT(HEX2DEC(MID($C2,3,10))/1024),2)</f>
        <v>0</v>
      </c>
      <c r="J2" s="7">
        <f>MOD(INT(HEX2DEC(MID($C2,3,10))/512),2)</f>
        <v>0</v>
      </c>
      <c r="K2" s="7">
        <f>MOD(INT(HEX2DEC(MID($C2,3,10))/256),2)</f>
        <v>0</v>
      </c>
      <c r="L2" s="7">
        <f>MOD(INT(HEX2DEC(MID($C2,3,10))/128),2)</f>
        <v>0</v>
      </c>
      <c r="M2" s="7">
        <f>MOD(INT(HEX2DEC(MID($C2,3,10))/64),2)</f>
        <v>0</v>
      </c>
      <c r="N2" s="7">
        <f>MOD(INT(HEX2DEC(MID($C2,3,10))/32),2)</f>
        <v>0</v>
      </c>
      <c r="O2" s="7">
        <f>MOD(INT(HEX2DEC(MID($C2,3,10))/16),2)</f>
        <v>0</v>
      </c>
      <c r="P2" s="7">
        <f>MOD(INT(HEX2DEC(MID($C2,3,10))/8),2)</f>
        <v>0</v>
      </c>
      <c r="Q2" s="9">
        <f>MOD(INT(HEX2DEC(MID($C2,3,10))/4),2)</f>
        <v>0</v>
      </c>
      <c r="R2" s="9">
        <f>MOD(INT(HEX2DEC(MID($C2,3,10))/2),2)</f>
        <v>0</v>
      </c>
      <c r="S2" s="9">
        <f>MOD(INT(HEX2DEC(MID($C2,3,10))/1),2)</f>
        <v>0</v>
      </c>
      <c r="T2" s="10" t="str">
        <f>"0x"&amp;DEC2HEX(INT(HEX2DEC(MID($C2,3,10))/8),4)</f>
        <v>0x0000</v>
      </c>
      <c r="U2" s="10" t="str">
        <f>Q2&amp;R2&amp;S2</f>
        <v>000</v>
      </c>
      <c r="V2" s="10" t="s">
        <v>14</v>
      </c>
      <c r="W2" s="10" t="s">
        <v>15</v>
      </c>
      <c r="X2" s="10" t="s">
        <v>16</v>
      </c>
      <c r="Y2" s="10" t="s">
        <v>17</v>
      </c>
      <c r="Z2" s="11" t="s">
        <v>18</v>
      </c>
    </row>
    <row r="3" spans="1:26" x14ac:dyDescent="0.25">
      <c r="A3" s="3"/>
      <c r="B3" s="12" t="s">
        <v>19</v>
      </c>
      <c r="C3" s="13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7"/>
      <c r="R3" s="17"/>
      <c r="S3" s="17"/>
      <c r="T3" s="18"/>
      <c r="U3" s="18"/>
      <c r="V3" s="18"/>
      <c r="W3" s="18"/>
      <c r="X3" s="18"/>
      <c r="Y3" s="18"/>
      <c r="Z3" s="19"/>
    </row>
    <row r="4" spans="1:26" x14ac:dyDescent="0.25">
      <c r="A4" s="3" t="s">
        <v>20</v>
      </c>
      <c r="B4" s="4" t="s">
        <v>12</v>
      </c>
      <c r="C4" s="5" t="s">
        <v>21</v>
      </c>
      <c r="D4" s="6">
        <f>MOD(INT(HEX2DEC(MID($C4,3,10))/32768),2)</f>
        <v>0</v>
      </c>
      <c r="E4" s="7">
        <f>MOD(INT(HEX2DEC(MID($C4,3,10))/16384),2)</f>
        <v>0</v>
      </c>
      <c r="F4" s="7">
        <f>MOD(INT(HEX2DEC(MID($C4,3,10))/8192),2)</f>
        <v>0</v>
      </c>
      <c r="G4" s="7">
        <f>MOD(INT(HEX2DEC(MID($C4,3,10))/4096),2)</f>
        <v>0</v>
      </c>
      <c r="H4" s="7">
        <f>MOD(INT(HEX2DEC(MID($C4,3,10))/2048),2)</f>
        <v>0</v>
      </c>
      <c r="I4" s="7">
        <f>MOD(INT(HEX2DEC(MID($C4,3,10))/1024),2)</f>
        <v>0</v>
      </c>
      <c r="J4" s="7">
        <f>MOD(INT(HEX2DEC(MID($C4,3,10))/512),2)</f>
        <v>0</v>
      </c>
      <c r="K4" s="7">
        <f>MOD(INT(HEX2DEC(MID($C4,3,10))/256),2)</f>
        <v>0</v>
      </c>
      <c r="L4" s="7">
        <f>MOD(INT(HEX2DEC(MID($C4,3,10))/128),2)</f>
        <v>0</v>
      </c>
      <c r="M4" s="7">
        <f>MOD(INT(HEX2DEC(MID($C4,3,10))/64),2)</f>
        <v>0</v>
      </c>
      <c r="N4" s="7">
        <f>MOD(INT(HEX2DEC(MID($C4,3,10))/32),2)</f>
        <v>0</v>
      </c>
      <c r="O4" s="7">
        <f>MOD(INT(HEX2DEC(MID($C4,3,10))/16),2)</f>
        <v>0</v>
      </c>
      <c r="P4" s="7">
        <f>MOD(INT(HEX2DEC(MID($C4,3,10))/8),2)</f>
        <v>0</v>
      </c>
      <c r="Q4" s="9">
        <f>MOD(INT(HEX2DEC(MID($C4,3,10))/4),2)</f>
        <v>1</v>
      </c>
      <c r="R4" s="9">
        <f>MOD(INT(HEX2DEC(MID($C4,3,10))/2),2)</f>
        <v>0</v>
      </c>
      <c r="S4" s="9">
        <f>MOD(INT(HEX2DEC(MID($C4,3,10))/1),2)</f>
        <v>0</v>
      </c>
      <c r="T4" s="10" t="str">
        <f>"0x"&amp;DEC2HEX(INT(HEX2DEC(MID($C4,3,10))/8),4)</f>
        <v>0x0000</v>
      </c>
      <c r="U4" s="10" t="str">
        <f>Q4&amp;R4&amp;S4</f>
        <v>100</v>
      </c>
      <c r="V4" s="10" t="s">
        <v>22</v>
      </c>
      <c r="W4" s="10" t="s">
        <v>16</v>
      </c>
      <c r="X4" s="10" t="s">
        <v>16</v>
      </c>
      <c r="Y4" s="10" t="s">
        <v>17</v>
      </c>
      <c r="Z4" s="11" t="s">
        <v>23</v>
      </c>
    </row>
    <row r="5" spans="1:26" x14ac:dyDescent="0.25">
      <c r="A5" s="3"/>
      <c r="B5" s="12" t="s">
        <v>19</v>
      </c>
      <c r="C5" s="13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7"/>
      <c r="R5" s="17"/>
      <c r="S5" s="17"/>
      <c r="T5" s="18"/>
      <c r="U5" s="18"/>
      <c r="V5" s="18"/>
      <c r="W5" s="18"/>
      <c r="X5" s="18"/>
      <c r="Y5" s="18"/>
      <c r="Z5" s="19"/>
    </row>
    <row r="6" spans="1:26" x14ac:dyDescent="0.25">
      <c r="A6" s="3" t="s">
        <v>24</v>
      </c>
      <c r="B6" s="4" t="s">
        <v>12</v>
      </c>
      <c r="C6" s="5" t="s">
        <v>25</v>
      </c>
      <c r="D6" s="6">
        <f>MOD(INT(HEX2DEC(MID($C6,3,10))/32768),2)</f>
        <v>0</v>
      </c>
      <c r="E6" s="7">
        <f>MOD(INT(HEX2DEC(MID($C6,3,10))/16384),2)</f>
        <v>0</v>
      </c>
      <c r="F6" s="7">
        <f>MOD(INT(HEX2DEC(MID($C6,3,10))/8192),2)</f>
        <v>0</v>
      </c>
      <c r="G6" s="7">
        <f>MOD(INT(HEX2DEC(MID($C6,3,10))/4096),2)</f>
        <v>0</v>
      </c>
      <c r="H6" s="7">
        <f>MOD(INT(HEX2DEC(MID($C6,3,10))/2048),2)</f>
        <v>0</v>
      </c>
      <c r="I6" s="7">
        <f>MOD(INT(HEX2DEC(MID($C6,3,10))/1024),2)</f>
        <v>0</v>
      </c>
      <c r="J6" s="7">
        <f>MOD(INT(HEX2DEC(MID($C6,3,10))/512),2)</f>
        <v>0</v>
      </c>
      <c r="K6" s="7">
        <f>MOD(INT(HEX2DEC(MID($C6,3,10))/256),2)</f>
        <v>0</v>
      </c>
      <c r="L6" s="7">
        <f>MOD(INT(HEX2DEC(MID($C6,3,10))/128),2)</f>
        <v>0</v>
      </c>
      <c r="M6" s="7">
        <f>MOD(INT(HEX2DEC(MID($C6,3,10))/64),2)</f>
        <v>0</v>
      </c>
      <c r="N6" s="7">
        <f>MOD(INT(HEX2DEC(MID($C6,3,10))/32),2)</f>
        <v>0</v>
      </c>
      <c r="O6" s="7">
        <f>MOD(INT(HEX2DEC(MID($C6,3,10))/16),2)</f>
        <v>0</v>
      </c>
      <c r="P6" s="7">
        <f>MOD(INT(HEX2DEC(MID($C6,3,10))/8),2)</f>
        <v>1</v>
      </c>
      <c r="Q6" s="9">
        <f>MOD(INT(HEX2DEC(MID($C6,3,10))/4),2)</f>
        <v>0</v>
      </c>
      <c r="R6" s="9">
        <f>MOD(INT(HEX2DEC(MID($C6,3,10))/2),2)</f>
        <v>0</v>
      </c>
      <c r="S6" s="9">
        <f>MOD(INT(HEX2DEC(MID($C6,3,10))/1),2)</f>
        <v>0</v>
      </c>
      <c r="T6" s="10" t="str">
        <f>"0x"&amp;DEC2HEX(INT(HEX2DEC(MID($C6,3,10))/8),4)</f>
        <v>0x0001</v>
      </c>
      <c r="U6" s="10" t="str">
        <f>Q6&amp;R6&amp;S6</f>
        <v>000</v>
      </c>
      <c r="V6" s="10" t="s">
        <v>14</v>
      </c>
      <c r="W6" s="10" t="s">
        <v>15</v>
      </c>
      <c r="X6" s="10" t="s">
        <v>16</v>
      </c>
      <c r="Y6" s="10" t="s">
        <v>26</v>
      </c>
      <c r="Z6" s="11" t="s">
        <v>27</v>
      </c>
    </row>
    <row r="7" spans="1:26" x14ac:dyDescent="0.25">
      <c r="A7" s="3"/>
      <c r="B7" s="12" t="s">
        <v>19</v>
      </c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7"/>
      <c r="R7" s="17"/>
      <c r="S7" s="17"/>
      <c r="T7" s="18"/>
      <c r="U7" s="18"/>
      <c r="V7" s="18"/>
      <c r="W7" s="18"/>
      <c r="X7" s="18"/>
      <c r="Y7" s="18"/>
      <c r="Z7" s="19"/>
    </row>
    <row r="8" spans="1:26" x14ac:dyDescent="0.25">
      <c r="A8" s="3" t="s">
        <v>28</v>
      </c>
      <c r="B8" s="4" t="s">
        <v>12</v>
      </c>
      <c r="C8" s="5" t="s">
        <v>29</v>
      </c>
      <c r="D8" s="6">
        <f>MOD(INT(HEX2DEC(MID($C8,3,10))/32768),2)</f>
        <v>0</v>
      </c>
      <c r="E8" s="7">
        <f>MOD(INT(HEX2DEC(MID($C8,3,10))/16384),2)</f>
        <v>0</v>
      </c>
      <c r="F8" s="7">
        <f>MOD(INT(HEX2DEC(MID($C8,3,10))/8192),2)</f>
        <v>0</v>
      </c>
      <c r="G8" s="7">
        <f>MOD(INT(HEX2DEC(MID($C8,3,10))/4096),2)</f>
        <v>0</v>
      </c>
      <c r="H8" s="7">
        <f>MOD(INT(HEX2DEC(MID($C8,3,10))/2048),2)</f>
        <v>0</v>
      </c>
      <c r="I8" s="7">
        <f>MOD(INT(HEX2DEC(MID($C8,3,10))/1024),2)</f>
        <v>0</v>
      </c>
      <c r="J8" s="7">
        <f>MOD(INT(HEX2DEC(MID($C8,3,10))/512),2)</f>
        <v>0</v>
      </c>
      <c r="K8" s="7">
        <f>MOD(INT(HEX2DEC(MID($C8,3,10))/256),2)</f>
        <v>0</v>
      </c>
      <c r="L8" s="7">
        <f>MOD(INT(HEX2DEC(MID($C8,3,10))/128),2)</f>
        <v>0</v>
      </c>
      <c r="M8" s="7">
        <f>MOD(INT(HEX2DEC(MID($C8,3,10))/64),2)</f>
        <v>0</v>
      </c>
      <c r="N8" s="7">
        <f>MOD(INT(HEX2DEC(MID($C8,3,10))/32),2)</f>
        <v>0</v>
      </c>
      <c r="O8" s="7">
        <f>MOD(INT(HEX2DEC(MID($C8,3,10))/16),2)</f>
        <v>0</v>
      </c>
      <c r="P8" s="7">
        <f>MOD(INT(HEX2DEC(MID($C8,3,10))/8),2)</f>
        <v>1</v>
      </c>
      <c r="Q8" s="9">
        <f>MOD(INT(HEX2DEC(MID($C8,3,10))/4),2)</f>
        <v>1</v>
      </c>
      <c r="R8" s="9">
        <f>MOD(INT(HEX2DEC(MID($C8,3,10))/2),2)</f>
        <v>0</v>
      </c>
      <c r="S8" s="9">
        <f>MOD(INT(HEX2DEC(MID($C8,3,10))/1),2)</f>
        <v>0</v>
      </c>
      <c r="T8" s="10" t="str">
        <f>"0x"&amp;DEC2HEX(INT(HEX2DEC(MID($C8,3,10))/8),4)</f>
        <v>0x0001</v>
      </c>
      <c r="U8" s="10" t="str">
        <f>Q8&amp;R8&amp;S8</f>
        <v>100</v>
      </c>
      <c r="V8" s="10" t="s">
        <v>22</v>
      </c>
      <c r="W8" s="10" t="s">
        <v>16</v>
      </c>
      <c r="X8" s="10" t="s">
        <v>16</v>
      </c>
      <c r="Y8" s="10" t="s">
        <v>26</v>
      </c>
      <c r="Z8" s="11" t="s">
        <v>23</v>
      </c>
    </row>
    <row r="9" spans="1:26" x14ac:dyDescent="0.25">
      <c r="A9" s="3"/>
      <c r="B9" s="12" t="s">
        <v>19</v>
      </c>
      <c r="C9" s="13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7"/>
      <c r="R9" s="17"/>
      <c r="S9" s="17"/>
      <c r="T9" s="18"/>
      <c r="U9" s="18"/>
      <c r="V9" s="18"/>
      <c r="W9" s="18"/>
      <c r="X9" s="18"/>
      <c r="Y9" s="18"/>
      <c r="Z9" s="19"/>
    </row>
    <row r="10" spans="1:26" x14ac:dyDescent="0.25">
      <c r="A10" s="3" t="s">
        <v>30</v>
      </c>
      <c r="B10" s="4" t="s">
        <v>12</v>
      </c>
      <c r="C10" s="5" t="s">
        <v>31</v>
      </c>
      <c r="D10" s="6">
        <f>MOD(INT(HEX2DEC(MID($C10,3,10))/32768),2)</f>
        <v>0</v>
      </c>
      <c r="E10" s="7">
        <f>MOD(INT(HEX2DEC(MID($C10,3,10))/16384),2)</f>
        <v>0</v>
      </c>
      <c r="F10" s="7">
        <f>MOD(INT(HEX2DEC(MID($C10,3,10))/8192),2)</f>
        <v>0</v>
      </c>
      <c r="G10" s="7">
        <f>MOD(INT(HEX2DEC(MID($C10,3,10))/4096),2)</f>
        <v>0</v>
      </c>
      <c r="H10" s="7">
        <f>MOD(INT(HEX2DEC(MID($C10,3,10))/2048),2)</f>
        <v>0</v>
      </c>
      <c r="I10" s="7">
        <f>MOD(INT(HEX2DEC(MID($C10,3,10))/1024),2)</f>
        <v>0</v>
      </c>
      <c r="J10" s="7">
        <f>MOD(INT(HEX2DEC(MID($C10,3,10))/512),2)</f>
        <v>0</v>
      </c>
      <c r="K10" s="7">
        <f>MOD(INT(HEX2DEC(MID($C10,3,10))/256),2)</f>
        <v>0</v>
      </c>
      <c r="L10" s="7">
        <f>MOD(INT(HEX2DEC(MID($C10,3,10))/128),2)</f>
        <v>0</v>
      </c>
      <c r="M10" s="7">
        <f>MOD(INT(HEX2DEC(MID($C10,3,10))/64),2)</f>
        <v>0</v>
      </c>
      <c r="N10" s="7">
        <f>MOD(INT(HEX2DEC(MID($C10,3,10))/32),2)</f>
        <v>0</v>
      </c>
      <c r="O10" s="7">
        <f>MOD(INT(HEX2DEC(MID($C10,3,10))/16),2)</f>
        <v>1</v>
      </c>
      <c r="P10" s="7">
        <f>MOD(INT(HEX2DEC(MID($C10,3,10))/8),2)</f>
        <v>0</v>
      </c>
      <c r="Q10" s="9">
        <f>MOD(INT(HEX2DEC(MID($C10,3,10))/4),2)</f>
        <v>0</v>
      </c>
      <c r="R10" s="9">
        <f>MOD(INT(HEX2DEC(MID($C10,3,10))/2),2)</f>
        <v>0</v>
      </c>
      <c r="S10" s="9">
        <f>MOD(INT(HEX2DEC(MID($C10,3,10))/1),2)</f>
        <v>0</v>
      </c>
      <c r="T10" s="10" t="str">
        <f>"0x"&amp;DEC2HEX(INT(HEX2DEC(MID($C10,3,10))/8),4)</f>
        <v>0x0002</v>
      </c>
      <c r="U10" s="10" t="str">
        <f>Q10&amp;R10&amp;S10</f>
        <v>000</v>
      </c>
      <c r="V10" s="10" t="s">
        <v>14</v>
      </c>
      <c r="W10" s="10" t="s">
        <v>15</v>
      </c>
      <c r="X10" s="10" t="s">
        <v>16</v>
      </c>
      <c r="Y10" s="10" t="s">
        <v>32</v>
      </c>
      <c r="Z10" s="11" t="s">
        <v>33</v>
      </c>
    </row>
    <row r="11" spans="1:26" x14ac:dyDescent="0.25">
      <c r="A11" s="3"/>
      <c r="B11" s="12" t="s">
        <v>19</v>
      </c>
      <c r="C11" s="13" t="s">
        <v>34</v>
      </c>
      <c r="D11" s="14">
        <f>MOD(INT(HEX2DEC(MID($C11,3,10))/32768),2)</f>
        <v>0</v>
      </c>
      <c r="E11" s="15">
        <f>MOD(INT(HEX2DEC(MID($C11,3,10))/16384),2)</f>
        <v>0</v>
      </c>
      <c r="F11" s="15">
        <f>MOD(INT(HEX2DEC(MID($C11,3,10))/8192),2)</f>
        <v>0</v>
      </c>
      <c r="G11" s="15">
        <f>MOD(INT(HEX2DEC(MID($C11,3,10))/4096),2)</f>
        <v>1</v>
      </c>
      <c r="H11" s="15">
        <f>MOD(INT(HEX2DEC(MID($C11,3,10))/2048),2)</f>
        <v>0</v>
      </c>
      <c r="I11" s="15">
        <f>MOD(INT(HEX2DEC(MID($C11,3,10))/1024),2)</f>
        <v>0</v>
      </c>
      <c r="J11" s="15">
        <f>MOD(INT(HEX2DEC(MID($C11,3,10))/512),2)</f>
        <v>0</v>
      </c>
      <c r="K11" s="15">
        <f>MOD(INT(HEX2DEC(MID($C11,3,10))/256),2)</f>
        <v>0</v>
      </c>
      <c r="L11" s="15">
        <f>MOD(INT(HEX2DEC(MID($C11,3,10))/128),2)</f>
        <v>0</v>
      </c>
      <c r="M11" s="15">
        <f>MOD(INT(HEX2DEC(MID($C11,3,10))/64),2)</f>
        <v>0</v>
      </c>
      <c r="N11" s="15">
        <f>MOD(INT(HEX2DEC(MID($C11,3,10))/32),2)</f>
        <v>0</v>
      </c>
      <c r="O11" s="15">
        <f>MOD(INT(HEX2DEC(MID($C11,3,10))/16),2)</f>
        <v>0</v>
      </c>
      <c r="P11" s="15">
        <f>MOD(INT(HEX2DEC(MID($C11,3,10))/8),2)</f>
        <v>0</v>
      </c>
      <c r="Q11" s="17">
        <f>MOD(INT(HEX2DEC(MID($C11,3,10))/4),2)</f>
        <v>0</v>
      </c>
      <c r="R11" s="17">
        <f>MOD(INT(HEX2DEC(MID($C11,3,10))/2),2)</f>
        <v>0</v>
      </c>
      <c r="S11" s="17">
        <f>MOD(INT(HEX2DEC(MID($C11,3,10))/1),2)</f>
        <v>0</v>
      </c>
      <c r="T11" s="18" t="str">
        <f>"0x"&amp;DEC2HEX(INT(HEX2DEC(MID($C11,3,10))/8),4)</f>
        <v>0x0200</v>
      </c>
      <c r="U11" s="18" t="str">
        <f>Q11&amp;R11&amp;S11</f>
        <v>000</v>
      </c>
      <c r="V11" s="18" t="s">
        <v>14</v>
      </c>
      <c r="W11" s="18" t="s">
        <v>15</v>
      </c>
      <c r="X11" s="18" t="s">
        <v>16</v>
      </c>
      <c r="Y11" s="18" t="s">
        <v>43</v>
      </c>
      <c r="Z11" s="19" t="s">
        <v>167</v>
      </c>
    </row>
    <row r="12" spans="1:26" x14ac:dyDescent="0.25">
      <c r="A12" s="3" t="s">
        <v>37</v>
      </c>
      <c r="B12" s="4" t="s">
        <v>12</v>
      </c>
      <c r="C12" s="5" t="s">
        <v>38</v>
      </c>
      <c r="D12" s="6">
        <f>MOD(INT(HEX2DEC(MID($C12,3,10))/32768),2)</f>
        <v>0</v>
      </c>
      <c r="E12" s="7">
        <f>MOD(INT(HEX2DEC(MID($C12,3,10))/16384),2)</f>
        <v>0</v>
      </c>
      <c r="F12" s="7">
        <f>MOD(INT(HEX2DEC(MID($C12,3,10))/8192),2)</f>
        <v>0</v>
      </c>
      <c r="G12" s="7">
        <f>MOD(INT(HEX2DEC(MID($C12,3,10))/4096),2)</f>
        <v>0</v>
      </c>
      <c r="H12" s="7">
        <f>MOD(INT(HEX2DEC(MID($C12,3,10))/2048),2)</f>
        <v>0</v>
      </c>
      <c r="I12" s="7">
        <f>MOD(INT(HEX2DEC(MID($C12,3,10))/1024),2)</f>
        <v>0</v>
      </c>
      <c r="J12" s="7">
        <f>MOD(INT(HEX2DEC(MID($C12,3,10))/512),2)</f>
        <v>0</v>
      </c>
      <c r="K12" s="7">
        <f>MOD(INT(HEX2DEC(MID($C12,3,10))/256),2)</f>
        <v>0</v>
      </c>
      <c r="L12" s="7">
        <f>MOD(INT(HEX2DEC(MID($C12,3,10))/128),2)</f>
        <v>0</v>
      </c>
      <c r="M12" s="7">
        <f>MOD(INT(HEX2DEC(MID($C12,3,10))/64),2)</f>
        <v>0</v>
      </c>
      <c r="N12" s="7">
        <f>MOD(INT(HEX2DEC(MID($C12,3,10))/32),2)</f>
        <v>0</v>
      </c>
      <c r="O12" s="7">
        <f>MOD(INT(HEX2DEC(MID($C12,3,10))/16),2)</f>
        <v>1</v>
      </c>
      <c r="P12" s="7">
        <f>MOD(INT(HEX2DEC(MID($C12,3,10))/8),2)</f>
        <v>0</v>
      </c>
      <c r="Q12" s="9">
        <f>MOD(INT(HEX2DEC(MID($C12,3,10))/4),2)</f>
        <v>1</v>
      </c>
      <c r="R12" s="9">
        <f>MOD(INT(HEX2DEC(MID($C12,3,10))/2),2)</f>
        <v>0</v>
      </c>
      <c r="S12" s="9">
        <f>MOD(INT(HEX2DEC(MID($C12,3,10))/1),2)</f>
        <v>0</v>
      </c>
      <c r="T12" s="10" t="str">
        <f>"0x"&amp;DEC2HEX(INT(HEX2DEC(MID($C12,3,10))/8),4)</f>
        <v>0x0002</v>
      </c>
      <c r="U12" s="10" t="str">
        <f>Q12&amp;R12&amp;S12</f>
        <v>100</v>
      </c>
      <c r="V12" s="10" t="s">
        <v>22</v>
      </c>
      <c r="W12" s="10" t="s">
        <v>16</v>
      </c>
      <c r="X12" s="10" t="s">
        <v>16</v>
      </c>
      <c r="Y12" s="10" t="s">
        <v>32</v>
      </c>
      <c r="Z12" s="11" t="s">
        <v>23</v>
      </c>
    </row>
    <row r="13" spans="1:26" x14ac:dyDescent="0.25">
      <c r="A13" s="3"/>
      <c r="B13" s="12" t="s">
        <v>19</v>
      </c>
      <c r="C13" s="13" t="s">
        <v>39</v>
      </c>
      <c r="D13" s="14">
        <f>MOD(INT(HEX2DEC(MID($C13,3,10))/32768),2)</f>
        <v>0</v>
      </c>
      <c r="E13" s="15">
        <f>MOD(INT(HEX2DEC(MID($C13,3,10))/16384),2)</f>
        <v>0</v>
      </c>
      <c r="F13" s="15">
        <f>MOD(INT(HEX2DEC(MID($C13,3,10))/8192),2)</f>
        <v>1</v>
      </c>
      <c r="G13" s="15">
        <f>MOD(INT(HEX2DEC(MID($C13,3,10))/4096),2)</f>
        <v>0</v>
      </c>
      <c r="H13" s="15">
        <f>MOD(INT(HEX2DEC(MID($C13,3,10))/2048),2)</f>
        <v>0</v>
      </c>
      <c r="I13" s="15">
        <f>MOD(INT(HEX2DEC(MID($C13,3,10))/1024),2)</f>
        <v>0</v>
      </c>
      <c r="J13" s="15">
        <f>MOD(INT(HEX2DEC(MID($C13,3,10))/512),2)</f>
        <v>0</v>
      </c>
      <c r="K13" s="15">
        <f>MOD(INT(HEX2DEC(MID($C13,3,10))/256),2)</f>
        <v>0</v>
      </c>
      <c r="L13" s="15">
        <f>MOD(INT(HEX2DEC(MID($C13,3,10))/128),2)</f>
        <v>0</v>
      </c>
      <c r="M13" s="15">
        <f>MOD(INT(HEX2DEC(MID($C13,3,10))/64),2)</f>
        <v>0</v>
      </c>
      <c r="N13" s="15">
        <f>MOD(INT(HEX2DEC(MID($C13,3,10))/32),2)</f>
        <v>0</v>
      </c>
      <c r="O13" s="15">
        <f>MOD(INT(HEX2DEC(MID($C13,3,10))/16),2)</f>
        <v>0</v>
      </c>
      <c r="P13" s="15">
        <f>MOD(INT(HEX2DEC(MID($C13,3,10))/8),2)</f>
        <v>0</v>
      </c>
      <c r="Q13" s="17">
        <f>MOD(INT(HEX2DEC(MID($C13,3,10))/4),2)</f>
        <v>0</v>
      </c>
      <c r="R13" s="17">
        <f>MOD(INT(HEX2DEC(MID($C13,3,10))/2),2)</f>
        <v>0</v>
      </c>
      <c r="S13" s="17">
        <f>MOD(INT(HEX2DEC(MID($C13,3,10))/1),2)</f>
        <v>0</v>
      </c>
      <c r="T13" s="18" t="str">
        <f>"0x"&amp;DEC2HEX(INT(HEX2DEC(MID($C13,3,10))/8),4)</f>
        <v>0x0400</v>
      </c>
      <c r="U13" s="18" t="str">
        <f>Q13&amp;R13&amp;S13</f>
        <v>000</v>
      </c>
      <c r="V13" s="18" t="s">
        <v>14</v>
      </c>
      <c r="W13" s="18" t="s">
        <v>15</v>
      </c>
      <c r="X13" s="18" t="s">
        <v>16</v>
      </c>
      <c r="Y13" s="18" t="s">
        <v>51</v>
      </c>
      <c r="Z13" s="19" t="s">
        <v>168</v>
      </c>
    </row>
    <row r="14" spans="1:26" x14ac:dyDescent="0.25">
      <c r="A14" s="3" t="s">
        <v>41</v>
      </c>
      <c r="B14" s="4" t="s">
        <v>12</v>
      </c>
      <c r="C14" s="5" t="s">
        <v>42</v>
      </c>
      <c r="D14" s="6">
        <f>MOD(INT(HEX2DEC(MID($C14,3,10))/32768),2)</f>
        <v>0</v>
      </c>
      <c r="E14" s="7">
        <f>MOD(INT(HEX2DEC(MID($C14,3,10))/16384),2)</f>
        <v>0</v>
      </c>
      <c r="F14" s="7">
        <f>MOD(INT(HEX2DEC(MID($C14,3,10))/8192),2)</f>
        <v>0</v>
      </c>
      <c r="G14" s="7">
        <f>MOD(INT(HEX2DEC(MID($C14,3,10))/4096),2)</f>
        <v>0</v>
      </c>
      <c r="H14" s="7">
        <f>MOD(INT(HEX2DEC(MID($C14,3,10))/2048),2)</f>
        <v>0</v>
      </c>
      <c r="I14" s="7">
        <f>MOD(INT(HEX2DEC(MID($C14,3,10))/1024),2)</f>
        <v>0</v>
      </c>
      <c r="J14" s="7">
        <f>MOD(INT(HEX2DEC(MID($C14,3,10))/512),2)</f>
        <v>0</v>
      </c>
      <c r="K14" s="7">
        <f>MOD(INT(HEX2DEC(MID($C14,3,10))/256),2)</f>
        <v>0</v>
      </c>
      <c r="L14" s="7">
        <f>MOD(INT(HEX2DEC(MID($C14,3,10))/128),2)</f>
        <v>0</v>
      </c>
      <c r="M14" s="7">
        <f>MOD(INT(HEX2DEC(MID($C14,3,10))/64),2)</f>
        <v>0</v>
      </c>
      <c r="N14" s="7">
        <f>MOD(INT(HEX2DEC(MID($C14,3,10))/32),2)</f>
        <v>0</v>
      </c>
      <c r="O14" s="7">
        <f>MOD(INT(HEX2DEC(MID($C14,3,10))/16),2)</f>
        <v>1</v>
      </c>
      <c r="P14" s="7">
        <f>MOD(INT(HEX2DEC(MID($C14,3,10))/8),2)</f>
        <v>1</v>
      </c>
      <c r="Q14" s="9">
        <f>MOD(INT(HEX2DEC(MID($C14,3,10))/4),2)</f>
        <v>0</v>
      </c>
      <c r="R14" s="9">
        <f>MOD(INT(HEX2DEC(MID($C14,3,10))/2),2)</f>
        <v>0</v>
      </c>
      <c r="S14" s="9">
        <f>MOD(INT(HEX2DEC(MID($C14,3,10))/1),2)</f>
        <v>0</v>
      </c>
      <c r="T14" s="10" t="str">
        <f>"0x"&amp;DEC2HEX(INT(HEX2DEC(MID($C14,3,10))/8),4)</f>
        <v>0x0003</v>
      </c>
      <c r="U14" s="10" t="str">
        <f>Q14&amp;R14&amp;S14</f>
        <v>000</v>
      </c>
      <c r="V14" s="10" t="s">
        <v>14</v>
      </c>
      <c r="W14" s="10" t="s">
        <v>15</v>
      </c>
      <c r="X14" s="10" t="s">
        <v>16</v>
      </c>
      <c r="Y14" s="10" t="s">
        <v>57</v>
      </c>
      <c r="Z14" s="11" t="s">
        <v>169</v>
      </c>
    </row>
    <row r="15" spans="1:26" x14ac:dyDescent="0.25">
      <c r="A15" s="3"/>
      <c r="B15" s="12" t="s">
        <v>19</v>
      </c>
      <c r="C15" s="13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7"/>
      <c r="R15" s="17"/>
      <c r="S15" s="17"/>
      <c r="T15" s="18"/>
      <c r="U15" s="18"/>
      <c r="V15" s="18"/>
      <c r="W15" s="18"/>
      <c r="X15" s="18"/>
      <c r="Y15" s="18"/>
      <c r="Z15" s="19"/>
    </row>
    <row r="16" spans="1:26" x14ac:dyDescent="0.25">
      <c r="A16" s="3" t="s">
        <v>45</v>
      </c>
      <c r="B16" s="4" t="s">
        <v>12</v>
      </c>
      <c r="C16" s="5" t="s">
        <v>46</v>
      </c>
      <c r="D16" s="6">
        <f>MOD(INT(HEX2DEC(MID($C16,3,10))/32768),2)</f>
        <v>0</v>
      </c>
      <c r="E16" s="7">
        <f>MOD(INT(HEX2DEC(MID($C16,3,10))/16384),2)</f>
        <v>0</v>
      </c>
      <c r="F16" s="7">
        <f>MOD(INT(HEX2DEC(MID($C16,3,10))/8192),2)</f>
        <v>0</v>
      </c>
      <c r="G16" s="7">
        <f>MOD(INT(HEX2DEC(MID($C16,3,10))/4096),2)</f>
        <v>0</v>
      </c>
      <c r="H16" s="7">
        <f>MOD(INT(HEX2DEC(MID($C16,3,10))/2048),2)</f>
        <v>0</v>
      </c>
      <c r="I16" s="7">
        <f>MOD(INT(HEX2DEC(MID($C16,3,10))/1024),2)</f>
        <v>0</v>
      </c>
      <c r="J16" s="7">
        <f>MOD(INT(HEX2DEC(MID($C16,3,10))/512),2)</f>
        <v>0</v>
      </c>
      <c r="K16" s="7">
        <f>MOD(INT(HEX2DEC(MID($C16,3,10))/256),2)</f>
        <v>0</v>
      </c>
      <c r="L16" s="7">
        <f>MOD(INT(HEX2DEC(MID($C16,3,10))/128),2)</f>
        <v>0</v>
      </c>
      <c r="M16" s="7">
        <f>MOD(INT(HEX2DEC(MID($C16,3,10))/64),2)</f>
        <v>0</v>
      </c>
      <c r="N16" s="7">
        <f>MOD(INT(HEX2DEC(MID($C16,3,10))/32),2)</f>
        <v>0</v>
      </c>
      <c r="O16" s="7">
        <f>MOD(INT(HEX2DEC(MID($C16,3,10))/16),2)</f>
        <v>1</v>
      </c>
      <c r="P16" s="7">
        <f>MOD(INT(HEX2DEC(MID($C16,3,10))/8),2)</f>
        <v>1</v>
      </c>
      <c r="Q16" s="9">
        <f>MOD(INT(HEX2DEC(MID($C16,3,10))/4),2)</f>
        <v>1</v>
      </c>
      <c r="R16" s="9">
        <f>MOD(INT(HEX2DEC(MID($C16,3,10))/2),2)</f>
        <v>0</v>
      </c>
      <c r="S16" s="9">
        <f>MOD(INT(HEX2DEC(MID($C16,3,10))/1),2)</f>
        <v>0</v>
      </c>
      <c r="T16" s="10" t="str">
        <f>"0x"&amp;DEC2HEX(INT(HEX2DEC(MID($C16,3,10))/8),4)</f>
        <v>0x0003</v>
      </c>
      <c r="U16" s="10" t="str">
        <f>Q16&amp;R16&amp;S16</f>
        <v>100</v>
      </c>
      <c r="V16" s="10" t="s">
        <v>22</v>
      </c>
      <c r="W16" s="10" t="s">
        <v>16</v>
      </c>
      <c r="X16" s="10" t="s">
        <v>16</v>
      </c>
      <c r="Y16" s="10" t="s">
        <v>57</v>
      </c>
      <c r="Z16" s="11" t="s">
        <v>23</v>
      </c>
    </row>
    <row r="17" spans="1:26" x14ac:dyDescent="0.25">
      <c r="A17" s="3"/>
      <c r="B17" s="12" t="s">
        <v>19</v>
      </c>
      <c r="C17" s="13" t="s">
        <v>47</v>
      </c>
      <c r="D17" s="14">
        <f>MOD(INT(HEX2DEC(MID($C17,3,10))/32768),2)</f>
        <v>0</v>
      </c>
      <c r="E17" s="15">
        <f>MOD(INT(HEX2DEC(MID($C17,3,10))/16384),2)</f>
        <v>0</v>
      </c>
      <c r="F17" s="15">
        <f>MOD(INT(HEX2DEC(MID($C17,3,10))/8192),2)</f>
        <v>1</v>
      </c>
      <c r="G17" s="15">
        <f>MOD(INT(HEX2DEC(MID($C17,3,10))/4096),2)</f>
        <v>0</v>
      </c>
      <c r="H17" s="15">
        <f>MOD(INT(HEX2DEC(MID($C17,3,10))/2048),2)</f>
        <v>0</v>
      </c>
      <c r="I17" s="15">
        <f>MOD(INT(HEX2DEC(MID($C17,3,10))/1024),2)</f>
        <v>0</v>
      </c>
      <c r="J17" s="15">
        <f>MOD(INT(HEX2DEC(MID($C17,3,10))/512),2)</f>
        <v>0</v>
      </c>
      <c r="K17" s="15">
        <f>MOD(INT(HEX2DEC(MID($C17,3,10))/256),2)</f>
        <v>0</v>
      </c>
      <c r="L17" s="15">
        <f>MOD(INT(HEX2DEC(MID($C17,3,10))/128),2)</f>
        <v>1</v>
      </c>
      <c r="M17" s="15">
        <f>MOD(INT(HEX2DEC(MID($C17,3,10))/64),2)</f>
        <v>0</v>
      </c>
      <c r="N17" s="15">
        <f>MOD(INT(HEX2DEC(MID($C17,3,10))/32),2)</f>
        <v>0</v>
      </c>
      <c r="O17" s="15">
        <f>MOD(INT(HEX2DEC(MID($C17,3,10))/16),2)</f>
        <v>0</v>
      </c>
      <c r="P17" s="15">
        <f>MOD(INT(HEX2DEC(MID($C17,3,10))/8),2)</f>
        <v>0</v>
      </c>
      <c r="Q17" s="17">
        <f>MOD(INT(HEX2DEC(MID($C17,3,10))/4),2)</f>
        <v>0</v>
      </c>
      <c r="R17" s="17">
        <f>MOD(INT(HEX2DEC(MID($C17,3,10))/2),2)</f>
        <v>0</v>
      </c>
      <c r="S17" s="17">
        <f>MOD(INT(HEX2DEC(MID($C17,3,10))/1),2)</f>
        <v>0</v>
      </c>
      <c r="T17" s="18" t="str">
        <f>"0x"&amp;DEC2HEX(INT(HEX2DEC(MID($C17,3,10))/8),4)</f>
        <v>0x0410</v>
      </c>
      <c r="U17" s="18" t="str">
        <f>Q17&amp;R17&amp;S17</f>
        <v>000</v>
      </c>
      <c r="V17" s="18" t="s">
        <v>14</v>
      </c>
      <c r="W17" s="18" t="s">
        <v>15</v>
      </c>
      <c r="X17" s="18" t="s">
        <v>16</v>
      </c>
      <c r="Y17" s="18" t="s">
        <v>63</v>
      </c>
      <c r="Z17" s="19" t="s">
        <v>170</v>
      </c>
    </row>
    <row r="18" spans="1:26" x14ac:dyDescent="0.25">
      <c r="A18" s="3" t="s">
        <v>49</v>
      </c>
      <c r="B18" s="4" t="s">
        <v>12</v>
      </c>
      <c r="C18" s="5" t="s">
        <v>50</v>
      </c>
      <c r="D18" s="6">
        <f>MOD(INT(HEX2DEC(MID($C18,3,10))/32768),2)</f>
        <v>0</v>
      </c>
      <c r="E18" s="7">
        <f>MOD(INT(HEX2DEC(MID($C18,3,10))/16384),2)</f>
        <v>0</v>
      </c>
      <c r="F18" s="7">
        <f>MOD(INT(HEX2DEC(MID($C18,3,10))/8192),2)</f>
        <v>0</v>
      </c>
      <c r="G18" s="7">
        <f>MOD(INT(HEX2DEC(MID($C18,3,10))/4096),2)</f>
        <v>0</v>
      </c>
      <c r="H18" s="7">
        <f>MOD(INT(HEX2DEC(MID($C18,3,10))/2048),2)</f>
        <v>0</v>
      </c>
      <c r="I18" s="7">
        <f>MOD(INT(HEX2DEC(MID($C18,3,10))/1024),2)</f>
        <v>0</v>
      </c>
      <c r="J18" s="7">
        <f>MOD(INT(HEX2DEC(MID($C18,3,10))/512),2)</f>
        <v>0</v>
      </c>
      <c r="K18" s="7">
        <f>MOD(INT(HEX2DEC(MID($C18,3,10))/256),2)</f>
        <v>0</v>
      </c>
      <c r="L18" s="7">
        <f>MOD(INT(HEX2DEC(MID($C18,3,10))/128),2)</f>
        <v>0</v>
      </c>
      <c r="M18" s="7">
        <f>MOD(INT(HEX2DEC(MID($C18,3,10))/64),2)</f>
        <v>0</v>
      </c>
      <c r="N18" s="7">
        <f>MOD(INT(HEX2DEC(MID($C18,3,10))/32),2)</f>
        <v>1</v>
      </c>
      <c r="O18" s="7">
        <f>MOD(INT(HEX2DEC(MID($C18,3,10))/16),2)</f>
        <v>0</v>
      </c>
      <c r="P18" s="7">
        <f>MOD(INT(HEX2DEC(MID($C18,3,10))/8),2)</f>
        <v>0</v>
      </c>
      <c r="Q18" s="9">
        <f>MOD(INT(HEX2DEC(MID($C18,3,10))/4),2)</f>
        <v>0</v>
      </c>
      <c r="R18" s="9">
        <f>MOD(INT(HEX2DEC(MID($C18,3,10))/2),2)</f>
        <v>0</v>
      </c>
      <c r="S18" s="9">
        <f>MOD(INT(HEX2DEC(MID($C18,3,10))/1),2)</f>
        <v>0</v>
      </c>
      <c r="T18" s="10" t="str">
        <f>"0x"&amp;DEC2HEX(INT(HEX2DEC(MID($C18,3,10))/8),4)</f>
        <v>0x0004</v>
      </c>
      <c r="U18" s="10" t="str">
        <f>Q18&amp;R18&amp;S18</f>
        <v>000</v>
      </c>
      <c r="V18" s="10" t="s">
        <v>14</v>
      </c>
      <c r="W18" s="10" t="s">
        <v>15</v>
      </c>
      <c r="X18" s="10" t="s">
        <v>16</v>
      </c>
      <c r="Y18" s="10" t="s">
        <v>171</v>
      </c>
      <c r="Z18" s="11" t="s">
        <v>172</v>
      </c>
    </row>
    <row r="19" spans="1:26" x14ac:dyDescent="0.25">
      <c r="A19" s="3"/>
      <c r="B19" s="12" t="s">
        <v>19</v>
      </c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7"/>
      <c r="R19" s="17"/>
      <c r="S19" s="17"/>
      <c r="T19" s="18"/>
      <c r="U19" s="18"/>
      <c r="V19" s="18"/>
      <c r="W19" s="18"/>
      <c r="X19" s="18"/>
      <c r="Y19" s="18"/>
      <c r="Z19" s="19"/>
    </row>
    <row r="20" spans="1:26" x14ac:dyDescent="0.25">
      <c r="A20" s="3" t="s">
        <v>53</v>
      </c>
      <c r="B20" s="4" t="s">
        <v>12</v>
      </c>
      <c r="C20" s="5" t="s">
        <v>54</v>
      </c>
      <c r="D20" s="6">
        <f>MOD(INT(HEX2DEC(MID($C20,3,10))/32768),2)</f>
        <v>0</v>
      </c>
      <c r="E20" s="7">
        <f>MOD(INT(HEX2DEC(MID($C20,3,10))/16384),2)</f>
        <v>0</v>
      </c>
      <c r="F20" s="7">
        <f>MOD(INT(HEX2DEC(MID($C20,3,10))/8192),2)</f>
        <v>0</v>
      </c>
      <c r="G20" s="7">
        <f>MOD(INT(HEX2DEC(MID($C20,3,10))/4096),2)</f>
        <v>0</v>
      </c>
      <c r="H20" s="7">
        <f>MOD(INT(HEX2DEC(MID($C20,3,10))/2048),2)</f>
        <v>0</v>
      </c>
      <c r="I20" s="7">
        <f>MOD(INT(HEX2DEC(MID($C20,3,10))/1024),2)</f>
        <v>0</v>
      </c>
      <c r="J20" s="7">
        <f>MOD(INT(HEX2DEC(MID($C20,3,10))/512),2)</f>
        <v>0</v>
      </c>
      <c r="K20" s="7">
        <f>MOD(INT(HEX2DEC(MID($C20,3,10))/256),2)</f>
        <v>0</v>
      </c>
      <c r="L20" s="7">
        <f>MOD(INT(HEX2DEC(MID($C20,3,10))/128),2)</f>
        <v>0</v>
      </c>
      <c r="M20" s="7">
        <f>MOD(INT(HEX2DEC(MID($C20,3,10))/64),2)</f>
        <v>0</v>
      </c>
      <c r="N20" s="7">
        <f>MOD(INT(HEX2DEC(MID($C20,3,10))/32),2)</f>
        <v>1</v>
      </c>
      <c r="O20" s="7">
        <f>MOD(INT(HEX2DEC(MID($C20,3,10))/16),2)</f>
        <v>0</v>
      </c>
      <c r="P20" s="7">
        <f>MOD(INT(HEX2DEC(MID($C20,3,10))/8),2)</f>
        <v>0</v>
      </c>
      <c r="Q20" s="9">
        <f>MOD(INT(HEX2DEC(MID($C20,3,10))/4),2)</f>
        <v>1</v>
      </c>
      <c r="R20" s="9">
        <f>MOD(INT(HEX2DEC(MID($C20,3,10))/2),2)</f>
        <v>0</v>
      </c>
      <c r="S20" s="9">
        <f>MOD(INT(HEX2DEC(MID($C20,3,10))/1),2)</f>
        <v>0</v>
      </c>
      <c r="T20" s="10" t="str">
        <f>"0x"&amp;DEC2HEX(INT(HEX2DEC(MID($C20,3,10))/8),4)</f>
        <v>0x0004</v>
      </c>
      <c r="U20" s="10" t="str">
        <f>Q20&amp;R20&amp;S20</f>
        <v>100</v>
      </c>
      <c r="V20" s="10" t="s">
        <v>22</v>
      </c>
      <c r="W20" s="10" t="s">
        <v>16</v>
      </c>
      <c r="X20" s="10" t="s">
        <v>16</v>
      </c>
      <c r="Y20" s="10" t="s">
        <v>171</v>
      </c>
      <c r="Z20" s="11" t="s">
        <v>23</v>
      </c>
    </row>
    <row r="21" spans="1:26" x14ac:dyDescent="0.25">
      <c r="A21" s="3"/>
      <c r="B21" s="12" t="s">
        <v>19</v>
      </c>
      <c r="C21" s="13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7"/>
      <c r="R21" s="17"/>
      <c r="S21" s="17"/>
      <c r="T21" s="18"/>
      <c r="U21" s="18"/>
      <c r="V21" s="18"/>
      <c r="W21" s="18"/>
      <c r="X21" s="18"/>
      <c r="Y21" s="18"/>
      <c r="Z21" s="19"/>
    </row>
    <row r="22" spans="1:26" x14ac:dyDescent="0.25">
      <c r="A22" s="3" t="s">
        <v>55</v>
      </c>
      <c r="B22" s="4" t="s">
        <v>12</v>
      </c>
      <c r="C22" s="5" t="s">
        <v>56</v>
      </c>
      <c r="D22" s="6">
        <f>MOD(INT(HEX2DEC(MID($C22,3,10))/32768),2)</f>
        <v>0</v>
      </c>
      <c r="E22" s="7">
        <f>MOD(INT(HEX2DEC(MID($C22,3,10))/16384),2)</f>
        <v>0</v>
      </c>
      <c r="F22" s="7">
        <f>MOD(INT(HEX2DEC(MID($C22,3,10))/8192),2)</f>
        <v>0</v>
      </c>
      <c r="G22" s="7">
        <f>MOD(INT(HEX2DEC(MID($C22,3,10))/4096),2)</f>
        <v>0</v>
      </c>
      <c r="H22" s="7">
        <f>MOD(INT(HEX2DEC(MID($C22,3,10))/2048),2)</f>
        <v>0</v>
      </c>
      <c r="I22" s="7">
        <f>MOD(INT(HEX2DEC(MID($C22,3,10))/1024),2)</f>
        <v>0</v>
      </c>
      <c r="J22" s="7">
        <f>MOD(INT(HEX2DEC(MID($C22,3,10))/512),2)</f>
        <v>0</v>
      </c>
      <c r="K22" s="7">
        <f>MOD(INT(HEX2DEC(MID($C22,3,10))/256),2)</f>
        <v>0</v>
      </c>
      <c r="L22" s="7">
        <f>MOD(INT(HEX2DEC(MID($C22,3,10))/128),2)</f>
        <v>0</v>
      </c>
      <c r="M22" s="7">
        <f>MOD(INT(HEX2DEC(MID($C22,3,10))/64),2)</f>
        <v>0</v>
      </c>
      <c r="N22" s="7">
        <f>MOD(INT(HEX2DEC(MID($C22,3,10))/32),2)</f>
        <v>1</v>
      </c>
      <c r="O22" s="7">
        <f>MOD(INT(HEX2DEC(MID($C22,3,10))/16),2)</f>
        <v>0</v>
      </c>
      <c r="P22" s="7">
        <f>MOD(INT(HEX2DEC(MID($C22,3,10))/8),2)</f>
        <v>1</v>
      </c>
      <c r="Q22" s="9">
        <f>MOD(INT(HEX2DEC(MID($C22,3,10))/4),2)</f>
        <v>0</v>
      </c>
      <c r="R22" s="9">
        <f>MOD(INT(HEX2DEC(MID($C22,3,10))/2),2)</f>
        <v>0</v>
      </c>
      <c r="S22" s="9">
        <f>MOD(INT(HEX2DEC(MID($C22,3,10))/1),2)</f>
        <v>0</v>
      </c>
      <c r="T22" s="10" t="str">
        <f>"0x"&amp;DEC2HEX(INT(HEX2DEC(MID($C22,3,10))/8),4)</f>
        <v>0x0005</v>
      </c>
      <c r="U22" s="10" t="str">
        <f>Q22&amp;R22&amp;S22</f>
        <v>000</v>
      </c>
      <c r="V22" s="10" t="s">
        <v>14</v>
      </c>
      <c r="W22" s="10" t="s">
        <v>15</v>
      </c>
      <c r="X22" s="10" t="s">
        <v>16</v>
      </c>
      <c r="Y22" s="10" t="s">
        <v>132</v>
      </c>
      <c r="Z22" s="11" t="s">
        <v>173</v>
      </c>
    </row>
    <row r="23" spans="1:26" x14ac:dyDescent="0.25">
      <c r="A23" s="3"/>
      <c r="B23" s="12" t="s">
        <v>19</v>
      </c>
      <c r="C23" s="13"/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7"/>
      <c r="R23" s="17"/>
      <c r="S23" s="17"/>
      <c r="T23" s="18"/>
      <c r="U23" s="18"/>
      <c r="V23" s="18"/>
      <c r="W23" s="18"/>
      <c r="X23" s="18"/>
      <c r="Y23" s="18"/>
      <c r="Z23" s="19"/>
    </row>
    <row r="24" spans="1:26" x14ac:dyDescent="0.25">
      <c r="A24" s="3" t="s">
        <v>59</v>
      </c>
      <c r="B24" s="4" t="s">
        <v>12</v>
      </c>
      <c r="C24" s="5" t="s">
        <v>60</v>
      </c>
      <c r="D24" s="6">
        <f>MOD(INT(HEX2DEC(MID($C24,3,10))/32768),2)</f>
        <v>0</v>
      </c>
      <c r="E24" s="7">
        <f>MOD(INT(HEX2DEC(MID($C24,3,10))/16384),2)</f>
        <v>0</v>
      </c>
      <c r="F24" s="7">
        <f>MOD(INT(HEX2DEC(MID($C24,3,10))/8192),2)</f>
        <v>0</v>
      </c>
      <c r="G24" s="7">
        <f>MOD(INT(HEX2DEC(MID($C24,3,10))/4096),2)</f>
        <v>0</v>
      </c>
      <c r="H24" s="7">
        <f>MOD(INT(HEX2DEC(MID($C24,3,10))/2048),2)</f>
        <v>0</v>
      </c>
      <c r="I24" s="7">
        <f>MOD(INT(HEX2DEC(MID($C24,3,10))/1024),2)</f>
        <v>0</v>
      </c>
      <c r="J24" s="7">
        <f>MOD(INT(HEX2DEC(MID($C24,3,10))/512),2)</f>
        <v>0</v>
      </c>
      <c r="K24" s="7">
        <f>MOD(INT(HEX2DEC(MID($C24,3,10))/256),2)</f>
        <v>0</v>
      </c>
      <c r="L24" s="7">
        <f>MOD(INT(HEX2DEC(MID($C24,3,10))/128),2)</f>
        <v>0</v>
      </c>
      <c r="M24" s="7">
        <f>MOD(INT(HEX2DEC(MID($C24,3,10))/64),2)</f>
        <v>0</v>
      </c>
      <c r="N24" s="7">
        <f>MOD(INT(HEX2DEC(MID($C24,3,10))/32),2)</f>
        <v>1</v>
      </c>
      <c r="O24" s="7">
        <f>MOD(INT(HEX2DEC(MID($C24,3,10))/16),2)</f>
        <v>0</v>
      </c>
      <c r="P24" s="7">
        <f>MOD(INT(HEX2DEC(MID($C24,3,10))/8),2)</f>
        <v>1</v>
      </c>
      <c r="Q24" s="9">
        <f>MOD(INT(HEX2DEC(MID($C24,3,10))/4),2)</f>
        <v>1</v>
      </c>
      <c r="R24" s="9">
        <f>MOD(INT(HEX2DEC(MID($C24,3,10))/2),2)</f>
        <v>0</v>
      </c>
      <c r="S24" s="9">
        <f>MOD(INT(HEX2DEC(MID($C24,3,10))/1),2)</f>
        <v>0</v>
      </c>
      <c r="T24" s="10" t="str">
        <f>"0x"&amp;DEC2HEX(INT(HEX2DEC(MID($C24,3,10))/8),4)</f>
        <v>0x0005</v>
      </c>
      <c r="U24" s="10" t="str">
        <f>Q24&amp;R24&amp;S24</f>
        <v>100</v>
      </c>
      <c r="V24" s="10" t="s">
        <v>22</v>
      </c>
      <c r="W24" s="10" t="s">
        <v>16</v>
      </c>
      <c r="X24" s="10" t="s">
        <v>16</v>
      </c>
      <c r="Y24" s="10" t="s">
        <v>132</v>
      </c>
      <c r="Z24" s="11" t="s">
        <v>23</v>
      </c>
    </row>
    <row r="25" spans="1:26" x14ac:dyDescent="0.25">
      <c r="A25" s="3"/>
      <c r="B25" s="12" t="s">
        <v>19</v>
      </c>
      <c r="C25" s="13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7"/>
      <c r="R25" s="17"/>
      <c r="S25" s="17"/>
      <c r="T25" s="18"/>
      <c r="U25" s="18"/>
      <c r="V25" s="18"/>
      <c r="W25" s="18"/>
      <c r="X25" s="18"/>
      <c r="Y25" s="18"/>
      <c r="Z25" s="19"/>
    </row>
    <row r="26" spans="1:26" x14ac:dyDescent="0.25">
      <c r="A26" s="3" t="s">
        <v>61</v>
      </c>
      <c r="B26" s="4" t="s">
        <v>12</v>
      </c>
      <c r="C26" s="5" t="s">
        <v>62</v>
      </c>
      <c r="D26" s="6">
        <f>MOD(INT(HEX2DEC(MID($C26,3,10))/32768),2)</f>
        <v>0</v>
      </c>
      <c r="E26" s="7">
        <f>MOD(INT(HEX2DEC(MID($C26,3,10))/16384),2)</f>
        <v>0</v>
      </c>
      <c r="F26" s="7">
        <f>MOD(INT(HEX2DEC(MID($C26,3,10))/8192),2)</f>
        <v>0</v>
      </c>
      <c r="G26" s="7">
        <f>MOD(INT(HEX2DEC(MID($C26,3,10))/4096),2)</f>
        <v>0</v>
      </c>
      <c r="H26" s="7">
        <f>MOD(INT(HEX2DEC(MID($C26,3,10))/2048),2)</f>
        <v>0</v>
      </c>
      <c r="I26" s="7">
        <f>MOD(INT(HEX2DEC(MID($C26,3,10))/1024),2)</f>
        <v>0</v>
      </c>
      <c r="J26" s="7">
        <f>MOD(INT(HEX2DEC(MID($C26,3,10))/512),2)</f>
        <v>0</v>
      </c>
      <c r="K26" s="7">
        <f>MOD(INT(HEX2DEC(MID($C26,3,10))/256),2)</f>
        <v>0</v>
      </c>
      <c r="L26" s="7">
        <f>MOD(INT(HEX2DEC(MID($C26,3,10))/128),2)</f>
        <v>0</v>
      </c>
      <c r="M26" s="7">
        <f>MOD(INT(HEX2DEC(MID($C26,3,10))/64),2)</f>
        <v>0</v>
      </c>
      <c r="N26" s="7">
        <f>MOD(INT(HEX2DEC(MID($C26,3,10))/32),2)</f>
        <v>1</v>
      </c>
      <c r="O26" s="7">
        <f>MOD(INT(HEX2DEC(MID($C26,3,10))/16),2)</f>
        <v>1</v>
      </c>
      <c r="P26" s="7">
        <f>MOD(INT(HEX2DEC(MID($C26,3,10))/8),2)</f>
        <v>0</v>
      </c>
      <c r="Q26" s="9">
        <f>MOD(INT(HEX2DEC(MID($C26,3,10))/4),2)</f>
        <v>0</v>
      </c>
      <c r="R26" s="9">
        <f>MOD(INT(HEX2DEC(MID($C26,3,10))/2),2)</f>
        <v>0</v>
      </c>
      <c r="S26" s="9">
        <f>MOD(INT(HEX2DEC(MID($C26,3,10))/1),2)</f>
        <v>0</v>
      </c>
      <c r="T26" s="10" t="str">
        <f>"0x"&amp;DEC2HEX(INT(HEX2DEC(MID($C26,3,10))/8),4)</f>
        <v>0x0006</v>
      </c>
      <c r="U26" s="10" t="str">
        <f>Q26&amp;R26&amp;S26</f>
        <v>000</v>
      </c>
      <c r="V26" s="10" t="s">
        <v>14</v>
      </c>
      <c r="W26" s="10" t="s">
        <v>15</v>
      </c>
      <c r="X26" s="10" t="s">
        <v>16</v>
      </c>
      <c r="Y26" s="10" t="s">
        <v>159</v>
      </c>
      <c r="Z26" s="11" t="s">
        <v>160</v>
      </c>
    </row>
    <row r="27" spans="1:26" x14ac:dyDescent="0.25">
      <c r="A27" s="3"/>
      <c r="B27" s="12" t="s">
        <v>19</v>
      </c>
      <c r="C27" s="13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7"/>
      <c r="R27" s="17"/>
      <c r="S27" s="17"/>
      <c r="T27" s="18"/>
      <c r="U27" s="18"/>
      <c r="V27" s="18"/>
      <c r="W27" s="18"/>
      <c r="X27" s="18"/>
      <c r="Y27" s="18"/>
      <c r="Z27" s="19"/>
    </row>
    <row r="28" spans="1:26" x14ac:dyDescent="0.25">
      <c r="A28" s="3" t="s">
        <v>30</v>
      </c>
      <c r="B28" s="4" t="s">
        <v>12</v>
      </c>
      <c r="C28" s="5" t="s">
        <v>31</v>
      </c>
      <c r="D28" s="6">
        <f>MOD(INT(HEX2DEC(MID($C28,3,10))/32768),2)</f>
        <v>0</v>
      </c>
      <c r="E28" s="7">
        <f>MOD(INT(HEX2DEC(MID($C28,3,10))/16384),2)</f>
        <v>0</v>
      </c>
      <c r="F28" s="7">
        <f>MOD(INT(HEX2DEC(MID($C28,3,10))/8192),2)</f>
        <v>0</v>
      </c>
      <c r="G28" s="7">
        <f>MOD(INT(HEX2DEC(MID($C28,3,10))/4096),2)</f>
        <v>0</v>
      </c>
      <c r="H28" s="7">
        <f>MOD(INT(HEX2DEC(MID($C28,3,10))/2048),2)</f>
        <v>0</v>
      </c>
      <c r="I28" s="7">
        <f>MOD(INT(HEX2DEC(MID($C28,3,10))/1024),2)</f>
        <v>0</v>
      </c>
      <c r="J28" s="7">
        <f>MOD(INT(HEX2DEC(MID($C28,3,10))/512),2)</f>
        <v>0</v>
      </c>
      <c r="K28" s="7">
        <f>MOD(INT(HEX2DEC(MID($C28,3,10))/256),2)</f>
        <v>0</v>
      </c>
      <c r="L28" s="7">
        <f>MOD(INT(HEX2DEC(MID($C28,3,10))/128),2)</f>
        <v>0</v>
      </c>
      <c r="M28" s="7">
        <f>MOD(INT(HEX2DEC(MID($C28,3,10))/64),2)</f>
        <v>0</v>
      </c>
      <c r="N28" s="7">
        <f>MOD(INT(HEX2DEC(MID($C28,3,10))/32),2)</f>
        <v>0</v>
      </c>
      <c r="O28" s="7">
        <f>MOD(INT(HEX2DEC(MID($C28,3,10))/16),2)</f>
        <v>1</v>
      </c>
      <c r="P28" s="7">
        <f>MOD(INT(HEX2DEC(MID($C28,3,10))/8),2)</f>
        <v>0</v>
      </c>
      <c r="Q28" s="9">
        <f>MOD(INT(HEX2DEC(MID($C28,3,10))/4),2)</f>
        <v>0</v>
      </c>
      <c r="R28" s="9">
        <f>MOD(INT(HEX2DEC(MID($C28,3,10))/2),2)</f>
        <v>0</v>
      </c>
      <c r="S28" s="9">
        <f>MOD(INT(HEX2DEC(MID($C28,3,10))/1),2)</f>
        <v>0</v>
      </c>
      <c r="T28" s="10" t="str">
        <f>"0x"&amp;DEC2HEX(INT(HEX2DEC(MID($C28,3,10))/8),4)</f>
        <v>0x0002</v>
      </c>
      <c r="U28" s="10" t="str">
        <f>Q28&amp;R28&amp;S28</f>
        <v>000</v>
      </c>
      <c r="V28" s="10" t="s">
        <v>22</v>
      </c>
      <c r="W28" s="10" t="s">
        <v>16</v>
      </c>
      <c r="X28" s="10" t="s">
        <v>16</v>
      </c>
      <c r="Y28" s="10" t="s">
        <v>32</v>
      </c>
      <c r="Z28" s="11" t="s">
        <v>23</v>
      </c>
    </row>
    <row r="29" spans="1:26" x14ac:dyDescent="0.25">
      <c r="A29" s="3"/>
      <c r="B29" s="12" t="s">
        <v>19</v>
      </c>
      <c r="C29" s="13" t="s">
        <v>65</v>
      </c>
      <c r="D29" s="14">
        <f>MOD(INT(HEX2DEC(MID($C29,3,10))/32768),2)</f>
        <v>0</v>
      </c>
      <c r="E29" s="15">
        <f>MOD(INT(HEX2DEC(MID($C29,3,10))/16384),2)</f>
        <v>0</v>
      </c>
      <c r="F29" s="15">
        <f>MOD(INT(HEX2DEC(MID($C29,3,10))/8192),2)</f>
        <v>0</v>
      </c>
      <c r="G29" s="15">
        <f>MOD(INT(HEX2DEC(MID($C29,3,10))/4096),2)</f>
        <v>1</v>
      </c>
      <c r="H29" s="15">
        <f>MOD(INT(HEX2DEC(MID($C29,3,10))/2048),2)</f>
        <v>0</v>
      </c>
      <c r="I29" s="15">
        <f>MOD(INT(HEX2DEC(MID($C29,3,10))/1024),2)</f>
        <v>0</v>
      </c>
      <c r="J29" s="15">
        <f>MOD(INT(HEX2DEC(MID($C29,3,10))/512),2)</f>
        <v>0</v>
      </c>
      <c r="K29" s="15">
        <f>MOD(INT(HEX2DEC(MID($C29,3,10))/256),2)</f>
        <v>0</v>
      </c>
      <c r="L29" s="15">
        <f>MOD(INT(HEX2DEC(MID($C29,3,10))/128),2)</f>
        <v>0</v>
      </c>
      <c r="M29" s="15">
        <f>MOD(INT(HEX2DEC(MID($C29,3,10))/64),2)</f>
        <v>0</v>
      </c>
      <c r="N29" s="15">
        <f>MOD(INT(HEX2DEC(MID($C29,3,10))/32),2)</f>
        <v>0</v>
      </c>
      <c r="O29" s="15">
        <f>MOD(INT(HEX2DEC(MID($C29,3,10))/16),2)</f>
        <v>0</v>
      </c>
      <c r="P29" s="15">
        <f>MOD(INT(HEX2DEC(MID($C29,3,10))/8),2)</f>
        <v>0</v>
      </c>
      <c r="Q29" s="17">
        <f>MOD(INT(HEX2DEC(MID($C29,3,10))/4),2)</f>
        <v>1</v>
      </c>
      <c r="R29" s="17">
        <f>MOD(INT(HEX2DEC(MID($C29,3,10))/2),2)</f>
        <v>0</v>
      </c>
      <c r="S29" s="17">
        <f>MOD(INT(HEX2DEC(MID($C29,3,10))/1),2)</f>
        <v>0</v>
      </c>
      <c r="T29" s="18" t="str">
        <f>"0x"&amp;DEC2HEX(INT(HEX2DEC(MID($C29,3,10))/8),4)</f>
        <v>0x0200</v>
      </c>
      <c r="U29" s="18" t="str">
        <f>Q29&amp;R29&amp;S29</f>
        <v>100</v>
      </c>
      <c r="V29" s="18" t="s">
        <v>22</v>
      </c>
      <c r="W29" s="18" t="s">
        <v>16</v>
      </c>
      <c r="X29" s="18" t="s">
        <v>16</v>
      </c>
      <c r="Y29" s="18" t="s">
        <v>43</v>
      </c>
      <c r="Z29" s="19" t="s">
        <v>161</v>
      </c>
    </row>
    <row r="30" spans="1:26" x14ac:dyDescent="0.25">
      <c r="A30" s="3" t="s">
        <v>37</v>
      </c>
      <c r="B30" s="4" t="s">
        <v>12</v>
      </c>
      <c r="C30" s="5" t="s">
        <v>38</v>
      </c>
      <c r="D30" s="6">
        <f>MOD(INT(HEX2DEC(MID($C30,3,10))/32768),2)</f>
        <v>0</v>
      </c>
      <c r="E30" s="7">
        <f>MOD(INT(HEX2DEC(MID($C30,3,10))/16384),2)</f>
        <v>0</v>
      </c>
      <c r="F30" s="7">
        <f>MOD(INT(HEX2DEC(MID($C30,3,10))/8192),2)</f>
        <v>0</v>
      </c>
      <c r="G30" s="7">
        <f>MOD(INT(HEX2DEC(MID($C30,3,10))/4096),2)</f>
        <v>0</v>
      </c>
      <c r="H30" s="7">
        <f>MOD(INT(HEX2DEC(MID($C30,3,10))/2048),2)</f>
        <v>0</v>
      </c>
      <c r="I30" s="7">
        <f>MOD(INT(HEX2DEC(MID($C30,3,10))/1024),2)</f>
        <v>0</v>
      </c>
      <c r="J30" s="7">
        <f>MOD(INT(HEX2DEC(MID($C30,3,10))/512),2)</f>
        <v>0</v>
      </c>
      <c r="K30" s="7">
        <f>MOD(INT(HEX2DEC(MID($C30,3,10))/256),2)</f>
        <v>0</v>
      </c>
      <c r="L30" s="7">
        <f>MOD(INT(HEX2DEC(MID($C30,3,10))/128),2)</f>
        <v>0</v>
      </c>
      <c r="M30" s="7">
        <f>MOD(INT(HEX2DEC(MID($C30,3,10))/64),2)</f>
        <v>0</v>
      </c>
      <c r="N30" s="7">
        <f>MOD(INT(HEX2DEC(MID($C30,3,10))/32),2)</f>
        <v>0</v>
      </c>
      <c r="O30" s="7">
        <f>MOD(INT(HEX2DEC(MID($C30,3,10))/16),2)</f>
        <v>1</v>
      </c>
      <c r="P30" s="7">
        <f>MOD(INT(HEX2DEC(MID($C30,3,10))/8),2)</f>
        <v>0</v>
      </c>
      <c r="Q30" s="9">
        <f>MOD(INT(HEX2DEC(MID($C30,3,10))/4),2)</f>
        <v>1</v>
      </c>
      <c r="R30" s="9">
        <f>MOD(INT(HEX2DEC(MID($C30,3,10))/2),2)</f>
        <v>0</v>
      </c>
      <c r="S30" s="9">
        <f>MOD(INT(HEX2DEC(MID($C30,3,10))/1),2)</f>
        <v>0</v>
      </c>
      <c r="T30" s="10" t="str">
        <f>"0x"&amp;DEC2HEX(INT(HEX2DEC(MID($C30,3,10))/8),4)</f>
        <v>0x0002</v>
      </c>
      <c r="U30" s="10" t="str">
        <f>Q30&amp;R30&amp;S30</f>
        <v>100</v>
      </c>
      <c r="V30" s="10" t="s">
        <v>22</v>
      </c>
      <c r="W30" s="10" t="s">
        <v>16</v>
      </c>
      <c r="X30" s="10" t="s">
        <v>16</v>
      </c>
      <c r="Y30" s="10" t="s">
        <v>32</v>
      </c>
      <c r="Z30" s="11" t="s">
        <v>23</v>
      </c>
    </row>
    <row r="31" spans="1:26" x14ac:dyDescent="0.25">
      <c r="A31" s="3"/>
      <c r="B31" s="12" t="s">
        <v>19</v>
      </c>
      <c r="C31" s="13" t="s">
        <v>68</v>
      </c>
      <c r="D31" s="14">
        <f>MOD(INT(HEX2DEC(MID($C31,3,10))/32768),2)</f>
        <v>0</v>
      </c>
      <c r="E31" s="15">
        <f>MOD(INT(HEX2DEC(MID($C31,3,10))/16384),2)</f>
        <v>0</v>
      </c>
      <c r="F31" s="15">
        <f>MOD(INT(HEX2DEC(MID($C31,3,10))/8192),2)</f>
        <v>1</v>
      </c>
      <c r="G31" s="15">
        <f>MOD(INT(HEX2DEC(MID($C31,3,10))/4096),2)</f>
        <v>0</v>
      </c>
      <c r="H31" s="15">
        <f>MOD(INT(HEX2DEC(MID($C31,3,10))/2048),2)</f>
        <v>0</v>
      </c>
      <c r="I31" s="15">
        <f>MOD(INT(HEX2DEC(MID($C31,3,10))/1024),2)</f>
        <v>0</v>
      </c>
      <c r="J31" s="15">
        <f>MOD(INT(HEX2DEC(MID($C31,3,10))/512),2)</f>
        <v>0</v>
      </c>
      <c r="K31" s="15">
        <f>MOD(INT(HEX2DEC(MID($C31,3,10))/256),2)</f>
        <v>0</v>
      </c>
      <c r="L31" s="15">
        <f>MOD(INT(HEX2DEC(MID($C31,3,10))/128),2)</f>
        <v>0</v>
      </c>
      <c r="M31" s="15">
        <f>MOD(INT(HEX2DEC(MID($C31,3,10))/64),2)</f>
        <v>0</v>
      </c>
      <c r="N31" s="15">
        <f>MOD(INT(HEX2DEC(MID($C31,3,10))/32),2)</f>
        <v>0</v>
      </c>
      <c r="O31" s="15">
        <f>MOD(INT(HEX2DEC(MID($C31,3,10))/16),2)</f>
        <v>0</v>
      </c>
      <c r="P31" s="15">
        <f>MOD(INT(HEX2DEC(MID($C31,3,10))/8),2)</f>
        <v>0</v>
      </c>
      <c r="Q31" s="17">
        <f>MOD(INT(HEX2DEC(MID($C31,3,10))/4),2)</f>
        <v>1</v>
      </c>
      <c r="R31" s="17">
        <f>MOD(INT(HEX2DEC(MID($C31,3,10))/2),2)</f>
        <v>0</v>
      </c>
      <c r="S31" s="17">
        <f>MOD(INT(HEX2DEC(MID($C31,3,10))/1),2)</f>
        <v>0</v>
      </c>
      <c r="T31" s="18" t="str">
        <f>"0x"&amp;DEC2HEX(INT(HEX2DEC(MID($C31,3,10))/8),4)</f>
        <v>0x0400</v>
      </c>
      <c r="U31" s="18" t="str">
        <f>Q31&amp;R31&amp;S31</f>
        <v>100</v>
      </c>
      <c r="V31" s="18" t="s">
        <v>22</v>
      </c>
      <c r="W31" s="18" t="s">
        <v>16</v>
      </c>
      <c r="X31" s="18" t="s">
        <v>16</v>
      </c>
      <c r="Y31" s="18" t="s">
        <v>51</v>
      </c>
      <c r="Z31" s="19" t="s">
        <v>162</v>
      </c>
    </row>
    <row r="32" spans="1:26" x14ac:dyDescent="0.25">
      <c r="A32" s="3" t="s">
        <v>41</v>
      </c>
      <c r="B32" s="4" t="s">
        <v>12</v>
      </c>
      <c r="C32" s="5" t="s">
        <v>42</v>
      </c>
      <c r="D32" s="6">
        <f>MOD(INT(HEX2DEC(MID($C32,3,10))/32768),2)</f>
        <v>0</v>
      </c>
      <c r="E32" s="7">
        <f>MOD(INT(HEX2DEC(MID($C32,3,10))/16384),2)</f>
        <v>0</v>
      </c>
      <c r="F32" s="7">
        <f>MOD(INT(HEX2DEC(MID($C32,3,10))/8192),2)</f>
        <v>0</v>
      </c>
      <c r="G32" s="7">
        <f>MOD(INT(HEX2DEC(MID($C32,3,10))/4096),2)</f>
        <v>0</v>
      </c>
      <c r="H32" s="7">
        <f>MOD(INT(HEX2DEC(MID($C32,3,10))/2048),2)</f>
        <v>0</v>
      </c>
      <c r="I32" s="7">
        <f>MOD(INT(HEX2DEC(MID($C32,3,10))/1024),2)</f>
        <v>0</v>
      </c>
      <c r="J32" s="7">
        <f>MOD(INT(HEX2DEC(MID($C32,3,10))/512),2)</f>
        <v>0</v>
      </c>
      <c r="K32" s="7">
        <f>MOD(INT(HEX2DEC(MID($C32,3,10))/256),2)</f>
        <v>0</v>
      </c>
      <c r="L32" s="7">
        <f>MOD(INT(HEX2DEC(MID($C32,3,10))/128),2)</f>
        <v>0</v>
      </c>
      <c r="M32" s="7">
        <f>MOD(INT(HEX2DEC(MID($C32,3,10))/64),2)</f>
        <v>0</v>
      </c>
      <c r="N32" s="7">
        <f>MOD(INT(HEX2DEC(MID($C32,3,10))/32),2)</f>
        <v>0</v>
      </c>
      <c r="O32" s="7">
        <f>MOD(INT(HEX2DEC(MID($C32,3,10))/16),2)</f>
        <v>1</v>
      </c>
      <c r="P32" s="7">
        <f>MOD(INT(HEX2DEC(MID($C32,3,10))/8),2)</f>
        <v>1</v>
      </c>
      <c r="Q32" s="9">
        <f>MOD(INT(HEX2DEC(MID($C32,3,10))/4),2)</f>
        <v>0</v>
      </c>
      <c r="R32" s="9">
        <f>MOD(INT(HEX2DEC(MID($C32,3,10))/2),2)</f>
        <v>0</v>
      </c>
      <c r="S32" s="9">
        <f>MOD(INT(HEX2DEC(MID($C32,3,10))/1),2)</f>
        <v>0</v>
      </c>
      <c r="T32" s="10" t="str">
        <f>"0x"&amp;DEC2HEX(INT(HEX2DEC(MID($C32,3,10))/8),4)</f>
        <v>0x0003</v>
      </c>
      <c r="U32" s="10" t="str">
        <f>Q32&amp;R32&amp;S32</f>
        <v>000</v>
      </c>
      <c r="V32" s="10" t="s">
        <v>22</v>
      </c>
      <c r="W32" s="10" t="s">
        <v>16</v>
      </c>
      <c r="X32" s="10" t="s">
        <v>16</v>
      </c>
      <c r="Y32" s="10" t="s">
        <v>57</v>
      </c>
      <c r="Z32" s="11" t="s">
        <v>23</v>
      </c>
    </row>
    <row r="33" spans="1:26" x14ac:dyDescent="0.25">
      <c r="A33" s="3"/>
      <c r="B33" s="12" t="s">
        <v>19</v>
      </c>
      <c r="C33" s="13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7"/>
      <c r="R33" s="17"/>
      <c r="S33" s="17"/>
      <c r="T33" s="18"/>
      <c r="U33" s="18"/>
      <c r="V33" s="18"/>
      <c r="W33" s="18"/>
      <c r="X33" s="18"/>
      <c r="Y33" s="18"/>
      <c r="Z33" s="19"/>
    </row>
    <row r="34" spans="1:26" x14ac:dyDescent="0.25">
      <c r="A34" s="3" t="s">
        <v>45</v>
      </c>
      <c r="B34" s="4" t="s">
        <v>12</v>
      </c>
      <c r="C34" s="5" t="s">
        <v>46</v>
      </c>
      <c r="D34" s="6">
        <f>MOD(INT(HEX2DEC(MID($C34,3,10))/32768),2)</f>
        <v>0</v>
      </c>
      <c r="E34" s="7">
        <f>MOD(INT(HEX2DEC(MID($C34,3,10))/16384),2)</f>
        <v>0</v>
      </c>
      <c r="F34" s="7">
        <f>MOD(INT(HEX2DEC(MID($C34,3,10))/8192),2)</f>
        <v>0</v>
      </c>
      <c r="G34" s="7">
        <f>MOD(INT(HEX2DEC(MID($C34,3,10))/4096),2)</f>
        <v>0</v>
      </c>
      <c r="H34" s="7">
        <f>MOD(INT(HEX2DEC(MID($C34,3,10))/2048),2)</f>
        <v>0</v>
      </c>
      <c r="I34" s="7">
        <f>MOD(INT(HEX2DEC(MID($C34,3,10))/1024),2)</f>
        <v>0</v>
      </c>
      <c r="J34" s="7">
        <f>MOD(INT(HEX2DEC(MID($C34,3,10))/512),2)</f>
        <v>0</v>
      </c>
      <c r="K34" s="7">
        <f>MOD(INT(HEX2DEC(MID($C34,3,10))/256),2)</f>
        <v>0</v>
      </c>
      <c r="L34" s="7">
        <f>MOD(INT(HEX2DEC(MID($C34,3,10))/128),2)</f>
        <v>0</v>
      </c>
      <c r="M34" s="7">
        <f>MOD(INT(HEX2DEC(MID($C34,3,10))/64),2)</f>
        <v>0</v>
      </c>
      <c r="N34" s="7">
        <f>MOD(INT(HEX2DEC(MID($C34,3,10))/32),2)</f>
        <v>0</v>
      </c>
      <c r="O34" s="7">
        <f>MOD(INT(HEX2DEC(MID($C34,3,10))/16),2)</f>
        <v>1</v>
      </c>
      <c r="P34" s="7">
        <f>MOD(INT(HEX2DEC(MID($C34,3,10))/8),2)</f>
        <v>1</v>
      </c>
      <c r="Q34" s="9">
        <f>MOD(INT(HEX2DEC(MID($C34,3,10))/4),2)</f>
        <v>1</v>
      </c>
      <c r="R34" s="9">
        <f>MOD(INT(HEX2DEC(MID($C34,3,10))/2),2)</f>
        <v>0</v>
      </c>
      <c r="S34" s="9">
        <f>MOD(INT(HEX2DEC(MID($C34,3,10))/1),2)</f>
        <v>0</v>
      </c>
      <c r="T34" s="10" t="str">
        <f>"0x"&amp;DEC2HEX(INT(HEX2DEC(MID($C34,3,10))/8),4)</f>
        <v>0x0003</v>
      </c>
      <c r="U34" s="10" t="str">
        <f>Q34&amp;R34&amp;S34</f>
        <v>100</v>
      </c>
      <c r="V34" s="10" t="s">
        <v>22</v>
      </c>
      <c r="W34" s="10" t="s">
        <v>16</v>
      </c>
      <c r="X34" s="10" t="s">
        <v>16</v>
      </c>
      <c r="Y34" s="10" t="s">
        <v>57</v>
      </c>
      <c r="Z34" s="11" t="s">
        <v>23</v>
      </c>
    </row>
    <row r="35" spans="1:26" x14ac:dyDescent="0.25">
      <c r="A35" s="3"/>
      <c r="B35" s="12" t="s">
        <v>19</v>
      </c>
      <c r="C35" s="13" t="s">
        <v>70</v>
      </c>
      <c r="D35" s="14">
        <f>MOD(INT(HEX2DEC(MID($C35,3,10))/32768),2)</f>
        <v>0</v>
      </c>
      <c r="E35" s="15">
        <f>MOD(INT(HEX2DEC(MID($C35,3,10))/16384),2)</f>
        <v>0</v>
      </c>
      <c r="F35" s="15">
        <f>MOD(INT(HEX2DEC(MID($C35,3,10))/8192),2)</f>
        <v>1</v>
      </c>
      <c r="G35" s="15">
        <f>MOD(INT(HEX2DEC(MID($C35,3,10))/4096),2)</f>
        <v>0</v>
      </c>
      <c r="H35" s="15">
        <f>MOD(INT(HEX2DEC(MID($C35,3,10))/2048),2)</f>
        <v>0</v>
      </c>
      <c r="I35" s="15">
        <f>MOD(INT(HEX2DEC(MID($C35,3,10))/1024),2)</f>
        <v>0</v>
      </c>
      <c r="J35" s="15">
        <f>MOD(INT(HEX2DEC(MID($C35,3,10))/512),2)</f>
        <v>0</v>
      </c>
      <c r="K35" s="15">
        <f>MOD(INT(HEX2DEC(MID($C35,3,10))/256),2)</f>
        <v>0</v>
      </c>
      <c r="L35" s="15">
        <f>MOD(INT(HEX2DEC(MID($C35,3,10))/128),2)</f>
        <v>1</v>
      </c>
      <c r="M35" s="15">
        <f>MOD(INT(HEX2DEC(MID($C35,3,10))/64),2)</f>
        <v>0</v>
      </c>
      <c r="N35" s="15">
        <f>MOD(INT(HEX2DEC(MID($C35,3,10))/32),2)</f>
        <v>0</v>
      </c>
      <c r="O35" s="15">
        <f>MOD(INT(HEX2DEC(MID($C35,3,10))/16),2)</f>
        <v>0</v>
      </c>
      <c r="P35" s="15">
        <f>MOD(INT(HEX2DEC(MID($C35,3,10))/8),2)</f>
        <v>0</v>
      </c>
      <c r="Q35" s="17">
        <f>MOD(INT(HEX2DEC(MID($C35,3,10))/4),2)</f>
        <v>1</v>
      </c>
      <c r="R35" s="17">
        <f>MOD(INT(HEX2DEC(MID($C35,3,10))/2),2)</f>
        <v>0</v>
      </c>
      <c r="S35" s="17">
        <f>MOD(INT(HEX2DEC(MID($C35,3,10))/1),2)</f>
        <v>0</v>
      </c>
      <c r="T35" s="18" t="str">
        <f>"0x"&amp;DEC2HEX(INT(HEX2DEC(MID($C35,3,10))/8),4)</f>
        <v>0x0410</v>
      </c>
      <c r="U35" s="18" t="str">
        <f>Q35&amp;R35&amp;S35</f>
        <v>100</v>
      </c>
      <c r="V35" s="18" t="s">
        <v>22</v>
      </c>
      <c r="W35" s="18" t="s">
        <v>16</v>
      </c>
      <c r="X35" s="18" t="s">
        <v>16</v>
      </c>
      <c r="Y35" s="18" t="s">
        <v>63</v>
      </c>
      <c r="Z35" s="19" t="s">
        <v>163</v>
      </c>
    </row>
    <row r="36" spans="1:26" x14ac:dyDescent="0.25">
      <c r="A36" s="3" t="s">
        <v>49</v>
      </c>
      <c r="B36" s="4" t="s">
        <v>12</v>
      </c>
      <c r="C36" s="5" t="s">
        <v>50</v>
      </c>
      <c r="D36" s="6">
        <f>MOD(INT(HEX2DEC(MID($C36,3,10))/32768),2)</f>
        <v>0</v>
      </c>
      <c r="E36" s="7">
        <f>MOD(INT(HEX2DEC(MID($C36,3,10))/16384),2)</f>
        <v>0</v>
      </c>
      <c r="F36" s="7">
        <f>MOD(INT(HEX2DEC(MID($C36,3,10))/8192),2)</f>
        <v>0</v>
      </c>
      <c r="G36" s="7">
        <f>MOD(INT(HEX2DEC(MID($C36,3,10))/4096),2)</f>
        <v>0</v>
      </c>
      <c r="H36" s="7">
        <f>MOD(INT(HEX2DEC(MID($C36,3,10))/2048),2)</f>
        <v>0</v>
      </c>
      <c r="I36" s="7">
        <f>MOD(INT(HEX2DEC(MID($C36,3,10))/1024),2)</f>
        <v>0</v>
      </c>
      <c r="J36" s="7">
        <f>MOD(INT(HEX2DEC(MID($C36,3,10))/512),2)</f>
        <v>0</v>
      </c>
      <c r="K36" s="7">
        <f>MOD(INT(HEX2DEC(MID($C36,3,10))/256),2)</f>
        <v>0</v>
      </c>
      <c r="L36" s="7">
        <f>MOD(INT(HEX2DEC(MID($C36,3,10))/128),2)</f>
        <v>0</v>
      </c>
      <c r="M36" s="7">
        <f>MOD(INT(HEX2DEC(MID($C36,3,10))/64),2)</f>
        <v>0</v>
      </c>
      <c r="N36" s="7">
        <f>MOD(INT(HEX2DEC(MID($C36,3,10))/32),2)</f>
        <v>1</v>
      </c>
      <c r="O36" s="7">
        <f>MOD(INT(HEX2DEC(MID($C36,3,10))/16),2)</f>
        <v>0</v>
      </c>
      <c r="P36" s="7">
        <f>MOD(INT(HEX2DEC(MID($C36,3,10))/8),2)</f>
        <v>0</v>
      </c>
      <c r="Q36" s="9">
        <f>MOD(INT(HEX2DEC(MID($C36,3,10))/4),2)</f>
        <v>0</v>
      </c>
      <c r="R36" s="9">
        <f>MOD(INT(HEX2DEC(MID($C36,3,10))/2),2)</f>
        <v>0</v>
      </c>
      <c r="S36" s="9">
        <f>MOD(INT(HEX2DEC(MID($C36,3,10))/1),2)</f>
        <v>0</v>
      </c>
      <c r="T36" s="10" t="str">
        <f>"0x"&amp;DEC2HEX(INT(HEX2DEC(MID($C36,3,10))/8),4)</f>
        <v>0x0004</v>
      </c>
      <c r="U36" s="10" t="str">
        <f>Q36&amp;R36&amp;S36</f>
        <v>000</v>
      </c>
      <c r="V36" s="10" t="s">
        <v>22</v>
      </c>
      <c r="W36" s="10" t="s">
        <v>16</v>
      </c>
      <c r="X36" s="10" t="s">
        <v>16</v>
      </c>
      <c r="Y36" s="10" t="s">
        <v>171</v>
      </c>
      <c r="Z36" s="11" t="s">
        <v>23</v>
      </c>
    </row>
    <row r="37" spans="1:26" x14ac:dyDescent="0.25">
      <c r="A37" s="3"/>
      <c r="B37" s="12" t="s">
        <v>19</v>
      </c>
      <c r="C37" s="13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7"/>
      <c r="R37" s="17"/>
      <c r="S37" s="17"/>
      <c r="T37" s="18"/>
      <c r="U37" s="18"/>
      <c r="V37" s="18"/>
      <c r="W37" s="18"/>
      <c r="X37" s="18"/>
      <c r="Y37" s="18"/>
      <c r="Z37" s="19"/>
    </row>
    <row r="38" spans="1:26" x14ac:dyDescent="0.25">
      <c r="A38" s="3" t="s">
        <v>53</v>
      </c>
      <c r="B38" s="4" t="s">
        <v>12</v>
      </c>
      <c r="C38" s="5" t="s">
        <v>54</v>
      </c>
      <c r="D38" s="6">
        <f>MOD(INT(HEX2DEC(MID($C38,3,10))/32768),2)</f>
        <v>0</v>
      </c>
      <c r="E38" s="7">
        <f>MOD(INT(HEX2DEC(MID($C38,3,10))/16384),2)</f>
        <v>0</v>
      </c>
      <c r="F38" s="7">
        <f>MOD(INT(HEX2DEC(MID($C38,3,10))/8192),2)</f>
        <v>0</v>
      </c>
      <c r="G38" s="7">
        <f>MOD(INT(HEX2DEC(MID($C38,3,10))/4096),2)</f>
        <v>0</v>
      </c>
      <c r="H38" s="7">
        <f>MOD(INT(HEX2DEC(MID($C38,3,10))/2048),2)</f>
        <v>0</v>
      </c>
      <c r="I38" s="7">
        <f>MOD(INT(HEX2DEC(MID($C38,3,10))/1024),2)</f>
        <v>0</v>
      </c>
      <c r="J38" s="7">
        <f>MOD(INT(HEX2DEC(MID($C38,3,10))/512),2)</f>
        <v>0</v>
      </c>
      <c r="K38" s="7">
        <f>MOD(INT(HEX2DEC(MID($C38,3,10))/256),2)</f>
        <v>0</v>
      </c>
      <c r="L38" s="7">
        <f>MOD(INT(HEX2DEC(MID($C38,3,10))/128),2)</f>
        <v>0</v>
      </c>
      <c r="M38" s="7">
        <f>MOD(INT(HEX2DEC(MID($C38,3,10))/64),2)</f>
        <v>0</v>
      </c>
      <c r="N38" s="7">
        <f>MOD(INT(HEX2DEC(MID($C38,3,10))/32),2)</f>
        <v>1</v>
      </c>
      <c r="O38" s="7">
        <f>MOD(INT(HEX2DEC(MID($C38,3,10))/16),2)</f>
        <v>0</v>
      </c>
      <c r="P38" s="7">
        <f>MOD(INT(HEX2DEC(MID($C38,3,10))/8),2)</f>
        <v>0</v>
      </c>
      <c r="Q38" s="9">
        <f>MOD(INT(HEX2DEC(MID($C38,3,10))/4),2)</f>
        <v>1</v>
      </c>
      <c r="R38" s="9">
        <f>MOD(INT(HEX2DEC(MID($C38,3,10))/2),2)</f>
        <v>0</v>
      </c>
      <c r="S38" s="9">
        <f>MOD(INT(HEX2DEC(MID($C38,3,10))/1),2)</f>
        <v>0</v>
      </c>
      <c r="T38" s="10" t="str">
        <f>"0x"&amp;DEC2HEX(INT(HEX2DEC(MID($C38,3,10))/8),4)</f>
        <v>0x0004</v>
      </c>
      <c r="U38" s="10" t="str">
        <f>Q38&amp;R38&amp;S38</f>
        <v>100</v>
      </c>
      <c r="V38" s="10" t="s">
        <v>22</v>
      </c>
      <c r="W38" s="10" t="s">
        <v>16</v>
      </c>
      <c r="X38" s="10" t="s">
        <v>16</v>
      </c>
      <c r="Y38" s="10" t="s">
        <v>171</v>
      </c>
      <c r="Z38" s="11" t="s">
        <v>23</v>
      </c>
    </row>
    <row r="39" spans="1:26" x14ac:dyDescent="0.25">
      <c r="A39" s="3"/>
      <c r="B39" s="12" t="s">
        <v>19</v>
      </c>
      <c r="C39" s="13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7"/>
      <c r="R39" s="17"/>
      <c r="S39" s="17"/>
      <c r="T39" s="18"/>
      <c r="U39" s="18"/>
      <c r="V39" s="18"/>
      <c r="W39" s="18"/>
      <c r="X39" s="18"/>
      <c r="Y39" s="18"/>
      <c r="Z39" s="19"/>
    </row>
    <row r="40" spans="1:26" x14ac:dyDescent="0.25">
      <c r="A40" s="3" t="s">
        <v>55</v>
      </c>
      <c r="B40" s="4" t="s">
        <v>12</v>
      </c>
      <c r="C40" s="5" t="s">
        <v>56</v>
      </c>
      <c r="D40" s="6">
        <f>MOD(INT(HEX2DEC(MID($C40,3,10))/32768),2)</f>
        <v>0</v>
      </c>
      <c r="E40" s="7">
        <f>MOD(INT(HEX2DEC(MID($C40,3,10))/16384),2)</f>
        <v>0</v>
      </c>
      <c r="F40" s="7">
        <f>MOD(INT(HEX2DEC(MID($C40,3,10))/8192),2)</f>
        <v>0</v>
      </c>
      <c r="G40" s="7">
        <f>MOD(INT(HEX2DEC(MID($C40,3,10))/4096),2)</f>
        <v>0</v>
      </c>
      <c r="H40" s="7">
        <f>MOD(INT(HEX2DEC(MID($C40,3,10))/2048),2)</f>
        <v>0</v>
      </c>
      <c r="I40" s="7">
        <f>MOD(INT(HEX2DEC(MID($C40,3,10))/1024),2)</f>
        <v>0</v>
      </c>
      <c r="J40" s="7">
        <f>MOD(INT(HEX2DEC(MID($C40,3,10))/512),2)</f>
        <v>0</v>
      </c>
      <c r="K40" s="7">
        <f>MOD(INT(HEX2DEC(MID($C40,3,10))/256),2)</f>
        <v>0</v>
      </c>
      <c r="L40" s="7">
        <f>MOD(INT(HEX2DEC(MID($C40,3,10))/128),2)</f>
        <v>0</v>
      </c>
      <c r="M40" s="7">
        <f>MOD(INT(HEX2DEC(MID($C40,3,10))/64),2)</f>
        <v>0</v>
      </c>
      <c r="N40" s="7">
        <f>MOD(INT(HEX2DEC(MID($C40,3,10))/32),2)</f>
        <v>1</v>
      </c>
      <c r="O40" s="7">
        <f>MOD(INT(HEX2DEC(MID($C40,3,10))/16),2)</f>
        <v>0</v>
      </c>
      <c r="P40" s="7">
        <f>MOD(INT(HEX2DEC(MID($C40,3,10))/8),2)</f>
        <v>1</v>
      </c>
      <c r="Q40" s="9">
        <f>MOD(INT(HEX2DEC(MID($C40,3,10))/4),2)</f>
        <v>0</v>
      </c>
      <c r="R40" s="9">
        <f>MOD(INT(HEX2DEC(MID($C40,3,10))/2),2)</f>
        <v>0</v>
      </c>
      <c r="S40" s="9">
        <f>MOD(INT(HEX2DEC(MID($C40,3,10))/1),2)</f>
        <v>0</v>
      </c>
      <c r="T40" s="10" t="str">
        <f>"0x"&amp;DEC2HEX(INT(HEX2DEC(MID($C40,3,10))/8),4)</f>
        <v>0x0005</v>
      </c>
      <c r="U40" s="10" t="str">
        <f>Q40&amp;R40&amp;S40</f>
        <v>000</v>
      </c>
      <c r="V40" s="10" t="s">
        <v>22</v>
      </c>
      <c r="W40" s="10" t="s">
        <v>16</v>
      </c>
      <c r="X40" s="10" t="s">
        <v>16</v>
      </c>
      <c r="Y40" s="10" t="s">
        <v>132</v>
      </c>
      <c r="Z40" s="11" t="s">
        <v>23</v>
      </c>
    </row>
    <row r="41" spans="1:26" x14ac:dyDescent="0.25">
      <c r="A41" s="3"/>
      <c r="B41" s="12" t="s">
        <v>19</v>
      </c>
      <c r="C41" s="13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7"/>
      <c r="R41" s="17"/>
      <c r="S41" s="17"/>
      <c r="T41" s="18"/>
      <c r="U41" s="18"/>
      <c r="V41" s="18"/>
      <c r="W41" s="18"/>
      <c r="X41" s="18"/>
      <c r="Y41" s="18"/>
      <c r="Z41" s="19"/>
    </row>
    <row r="42" spans="1:26" x14ac:dyDescent="0.25">
      <c r="A42" s="3" t="s">
        <v>59</v>
      </c>
      <c r="B42" s="4" t="s">
        <v>12</v>
      </c>
      <c r="C42" s="5" t="s">
        <v>60</v>
      </c>
      <c r="D42" s="6">
        <f>MOD(INT(HEX2DEC(MID($C42,3,10))/32768),2)</f>
        <v>0</v>
      </c>
      <c r="E42" s="7">
        <f>MOD(INT(HEX2DEC(MID($C42,3,10))/16384),2)</f>
        <v>0</v>
      </c>
      <c r="F42" s="7">
        <f>MOD(INT(HEX2DEC(MID($C42,3,10))/8192),2)</f>
        <v>0</v>
      </c>
      <c r="G42" s="7">
        <f>MOD(INT(HEX2DEC(MID($C42,3,10))/4096),2)</f>
        <v>0</v>
      </c>
      <c r="H42" s="7">
        <f>MOD(INT(HEX2DEC(MID($C42,3,10))/2048),2)</f>
        <v>0</v>
      </c>
      <c r="I42" s="7">
        <f>MOD(INT(HEX2DEC(MID($C42,3,10))/1024),2)</f>
        <v>0</v>
      </c>
      <c r="J42" s="7">
        <f>MOD(INT(HEX2DEC(MID($C42,3,10))/512),2)</f>
        <v>0</v>
      </c>
      <c r="K42" s="7">
        <f>MOD(INT(HEX2DEC(MID($C42,3,10))/256),2)</f>
        <v>0</v>
      </c>
      <c r="L42" s="7">
        <f>MOD(INT(HEX2DEC(MID($C42,3,10))/128),2)</f>
        <v>0</v>
      </c>
      <c r="M42" s="7">
        <f>MOD(INT(HEX2DEC(MID($C42,3,10))/64),2)</f>
        <v>0</v>
      </c>
      <c r="N42" s="7">
        <f>MOD(INT(HEX2DEC(MID($C42,3,10))/32),2)</f>
        <v>1</v>
      </c>
      <c r="O42" s="7">
        <f>MOD(INT(HEX2DEC(MID($C42,3,10))/16),2)</f>
        <v>0</v>
      </c>
      <c r="P42" s="7">
        <f>MOD(INT(HEX2DEC(MID($C42,3,10))/8),2)</f>
        <v>1</v>
      </c>
      <c r="Q42" s="9">
        <f>MOD(INT(HEX2DEC(MID($C42,3,10))/4),2)</f>
        <v>1</v>
      </c>
      <c r="R42" s="9">
        <f>MOD(INT(HEX2DEC(MID($C42,3,10))/2),2)</f>
        <v>0</v>
      </c>
      <c r="S42" s="9">
        <f>MOD(INT(HEX2DEC(MID($C42,3,10))/1),2)</f>
        <v>0</v>
      </c>
      <c r="T42" s="10" t="str">
        <f>"0x"&amp;DEC2HEX(INT(HEX2DEC(MID($C42,3,10))/8),4)</f>
        <v>0x0005</v>
      </c>
      <c r="U42" s="10" t="str">
        <f>Q42&amp;R42&amp;S42</f>
        <v>100</v>
      </c>
      <c r="V42" s="10" t="s">
        <v>22</v>
      </c>
      <c r="W42" s="10" t="s">
        <v>16</v>
      </c>
      <c r="X42" s="10" t="s">
        <v>16</v>
      </c>
      <c r="Y42" s="10" t="s">
        <v>132</v>
      </c>
      <c r="Z42" s="11" t="s">
        <v>23</v>
      </c>
    </row>
    <row r="43" spans="1:26" x14ac:dyDescent="0.25">
      <c r="A43" s="3"/>
      <c r="B43" s="12" t="s">
        <v>19</v>
      </c>
      <c r="C43" s="13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7"/>
      <c r="R43" s="17"/>
      <c r="S43" s="17"/>
      <c r="T43" s="18"/>
      <c r="U43" s="18"/>
      <c r="V43" s="18"/>
      <c r="W43" s="18"/>
      <c r="X43" s="18"/>
      <c r="Y43" s="18"/>
      <c r="Z43" s="19"/>
    </row>
    <row r="44" spans="1:26" x14ac:dyDescent="0.25">
      <c r="A44" s="3" t="s">
        <v>61</v>
      </c>
      <c r="B44" s="4" t="s">
        <v>12</v>
      </c>
      <c r="C44" s="5" t="s">
        <v>62</v>
      </c>
      <c r="D44" s="6">
        <f>MOD(INT(HEX2DEC(MID($C44,3,10))/32768),2)</f>
        <v>0</v>
      </c>
      <c r="E44" s="7">
        <f>MOD(INT(HEX2DEC(MID($C44,3,10))/16384),2)</f>
        <v>0</v>
      </c>
      <c r="F44" s="7">
        <f>MOD(INT(HEX2DEC(MID($C44,3,10))/8192),2)</f>
        <v>0</v>
      </c>
      <c r="G44" s="7">
        <f>MOD(INT(HEX2DEC(MID($C44,3,10))/4096),2)</f>
        <v>0</v>
      </c>
      <c r="H44" s="7">
        <f>MOD(INT(HEX2DEC(MID($C44,3,10))/2048),2)</f>
        <v>0</v>
      </c>
      <c r="I44" s="7">
        <f>MOD(INT(HEX2DEC(MID($C44,3,10))/1024),2)</f>
        <v>0</v>
      </c>
      <c r="J44" s="7">
        <f>MOD(INT(HEX2DEC(MID($C44,3,10))/512),2)</f>
        <v>0</v>
      </c>
      <c r="K44" s="7">
        <f>MOD(INT(HEX2DEC(MID($C44,3,10))/256),2)</f>
        <v>0</v>
      </c>
      <c r="L44" s="7">
        <f>MOD(INT(HEX2DEC(MID($C44,3,10))/128),2)</f>
        <v>0</v>
      </c>
      <c r="M44" s="7">
        <f>MOD(INT(HEX2DEC(MID($C44,3,10))/64),2)</f>
        <v>0</v>
      </c>
      <c r="N44" s="7">
        <f>MOD(INT(HEX2DEC(MID($C44,3,10))/32),2)</f>
        <v>1</v>
      </c>
      <c r="O44" s="7">
        <f>MOD(INT(HEX2DEC(MID($C44,3,10))/16),2)</f>
        <v>1</v>
      </c>
      <c r="P44" s="7">
        <f>MOD(INT(HEX2DEC(MID($C44,3,10))/8),2)</f>
        <v>0</v>
      </c>
      <c r="Q44" s="9">
        <f>MOD(INT(HEX2DEC(MID($C44,3,10))/4),2)</f>
        <v>0</v>
      </c>
      <c r="R44" s="9">
        <f>MOD(INT(HEX2DEC(MID($C44,3,10))/2),2)</f>
        <v>0</v>
      </c>
      <c r="S44" s="9">
        <f>MOD(INT(HEX2DEC(MID($C44,3,10))/1),2)</f>
        <v>0</v>
      </c>
      <c r="T44" s="10" t="str">
        <f>"0x"&amp;DEC2HEX(INT(HEX2DEC(MID($C44,3,10))/8),4)</f>
        <v>0x0006</v>
      </c>
      <c r="U44" s="10" t="str">
        <f>Q44&amp;R44&amp;S44</f>
        <v>000</v>
      </c>
      <c r="V44" s="10" t="s">
        <v>22</v>
      </c>
      <c r="W44" s="10" t="s">
        <v>16</v>
      </c>
      <c r="X44" s="10" t="s">
        <v>16</v>
      </c>
      <c r="Y44" s="10" t="s">
        <v>159</v>
      </c>
      <c r="Z44" s="11" t="s">
        <v>23</v>
      </c>
    </row>
    <row r="45" spans="1:26" x14ac:dyDescent="0.25">
      <c r="A45" s="3"/>
      <c r="B45" s="12" t="s">
        <v>19</v>
      </c>
      <c r="C45" s="13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7"/>
      <c r="R45" s="17"/>
      <c r="S45" s="17"/>
      <c r="T45" s="18"/>
      <c r="U45" s="18"/>
      <c r="V45" s="18"/>
      <c r="W45" s="18"/>
      <c r="X45" s="18"/>
      <c r="Y45" s="18"/>
      <c r="Z45" s="19"/>
    </row>
    <row r="46" spans="1:26" x14ac:dyDescent="0.25">
      <c r="A46" s="3" t="s">
        <v>72</v>
      </c>
      <c r="B46" s="4" t="s">
        <v>12</v>
      </c>
      <c r="C46" s="5" t="s">
        <v>73</v>
      </c>
      <c r="D46" s="6">
        <f>MOD(INT(HEX2DEC(MID($C46,3,10))/32768),2)</f>
        <v>0</v>
      </c>
      <c r="E46" s="7">
        <f>MOD(INT(HEX2DEC(MID($C46,3,10))/16384),2)</f>
        <v>0</v>
      </c>
      <c r="F46" s="7">
        <f>MOD(INT(HEX2DEC(MID($C46,3,10))/8192),2)</f>
        <v>0</v>
      </c>
      <c r="G46" s="7">
        <f>MOD(INT(HEX2DEC(MID($C46,3,10))/4096),2)</f>
        <v>0</v>
      </c>
      <c r="H46" s="7">
        <f>MOD(INT(HEX2DEC(MID($C46,3,10))/2048),2)</f>
        <v>0</v>
      </c>
      <c r="I46" s="7">
        <f>MOD(INT(HEX2DEC(MID($C46,3,10))/1024),2)</f>
        <v>0</v>
      </c>
      <c r="J46" s="7">
        <f>MOD(INT(HEX2DEC(MID($C46,3,10))/512),2)</f>
        <v>0</v>
      </c>
      <c r="K46" s="7">
        <f>MOD(INT(HEX2DEC(MID($C46,3,10))/256),2)</f>
        <v>0</v>
      </c>
      <c r="L46" s="7">
        <f>MOD(INT(HEX2DEC(MID($C46,3,10))/128),2)</f>
        <v>0</v>
      </c>
      <c r="M46" s="7">
        <f>MOD(INT(HEX2DEC(MID($C46,3,10))/64),2)</f>
        <v>0</v>
      </c>
      <c r="N46" s="7">
        <f>MOD(INT(HEX2DEC(MID($C46,3,10))/32),2)</f>
        <v>1</v>
      </c>
      <c r="O46" s="7">
        <f>MOD(INT(HEX2DEC(MID($C46,3,10))/16),2)</f>
        <v>1</v>
      </c>
      <c r="P46" s="7">
        <f>MOD(INT(HEX2DEC(MID($C46,3,10))/8),2)</f>
        <v>0</v>
      </c>
      <c r="Q46" s="9">
        <f>MOD(INT(HEX2DEC(MID($C46,3,10))/4),2)</f>
        <v>1</v>
      </c>
      <c r="R46" s="9">
        <f>MOD(INT(HEX2DEC(MID($C46,3,10))/2),2)</f>
        <v>0</v>
      </c>
      <c r="S46" s="9">
        <f>MOD(INT(HEX2DEC(MID($C46,3,10))/1),2)</f>
        <v>0</v>
      </c>
      <c r="T46" s="10" t="str">
        <f>"0x"&amp;DEC2HEX(INT(HEX2DEC(MID($C46,3,10))/8),4)</f>
        <v>0x0006</v>
      </c>
      <c r="U46" s="10" t="str">
        <f>Q46&amp;R46&amp;S46</f>
        <v>100</v>
      </c>
      <c r="V46" s="10" t="s">
        <v>22</v>
      </c>
      <c r="W46" s="10" t="s">
        <v>16</v>
      </c>
      <c r="X46" s="10" t="s">
        <v>16</v>
      </c>
      <c r="Y46" s="10" t="s">
        <v>159</v>
      </c>
      <c r="Z46" s="11" t="s">
        <v>23</v>
      </c>
    </row>
    <row r="47" spans="1:26" x14ac:dyDescent="0.25">
      <c r="A47" s="3"/>
      <c r="B47" s="12" t="s">
        <v>19</v>
      </c>
      <c r="C47" s="13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7"/>
      <c r="R47" s="17"/>
      <c r="S47" s="17"/>
      <c r="T47" s="18"/>
      <c r="U47" s="18"/>
      <c r="V47" s="18"/>
      <c r="W47" s="18"/>
      <c r="X47" s="18"/>
      <c r="Y47" s="18"/>
      <c r="Z47" s="19"/>
    </row>
    <row r="50" spans="1:12" x14ac:dyDescent="0.25">
      <c r="A50" s="20" t="s">
        <v>74</v>
      </c>
      <c r="B50" s="20" t="s">
        <v>3</v>
      </c>
      <c r="C50" s="20" t="s">
        <v>75</v>
      </c>
      <c r="D50" s="20" t="s">
        <v>76</v>
      </c>
      <c r="E50" s="20" t="s">
        <v>77</v>
      </c>
      <c r="F50" s="20" t="s">
        <v>78</v>
      </c>
      <c r="G50" s="20" t="s">
        <v>79</v>
      </c>
      <c r="H50" s="20" t="s">
        <v>80</v>
      </c>
      <c r="I50" s="20" t="s">
        <v>81</v>
      </c>
      <c r="J50" s="20" t="s">
        <v>82</v>
      </c>
      <c r="K50" s="20" t="s">
        <v>83</v>
      </c>
      <c r="L50" s="20" t="s">
        <v>84</v>
      </c>
    </row>
    <row r="51" spans="1:12" x14ac:dyDescent="0.25">
      <c r="A51" s="21">
        <v>0</v>
      </c>
      <c r="B51" s="21" t="s">
        <v>13</v>
      </c>
      <c r="C51" s="21">
        <v>0</v>
      </c>
      <c r="D51" s="21">
        <v>1</v>
      </c>
      <c r="E51" s="21" t="s">
        <v>174</v>
      </c>
      <c r="F51" s="21"/>
      <c r="G51" s="21"/>
      <c r="H51" s="21"/>
      <c r="I51" s="21" t="s">
        <v>175</v>
      </c>
      <c r="J51" s="21"/>
      <c r="K51" s="21"/>
      <c r="L51" s="21"/>
    </row>
    <row r="52" spans="1:12" x14ac:dyDescent="0.25">
      <c r="A52" s="21">
        <v>1</v>
      </c>
      <c r="B52" s="21" t="s">
        <v>176</v>
      </c>
      <c r="C52" s="21">
        <v>0</v>
      </c>
      <c r="D52" s="21">
        <v>1</v>
      </c>
      <c r="E52" s="21" t="s">
        <v>92</v>
      </c>
      <c r="F52" s="21"/>
      <c r="G52" s="21"/>
      <c r="H52" s="21"/>
      <c r="I52" s="21" t="s">
        <v>93</v>
      </c>
      <c r="J52" s="21"/>
      <c r="K52" s="21"/>
      <c r="L52" s="21"/>
    </row>
    <row r="53" spans="1:12" x14ac:dyDescent="0.25">
      <c r="A53" s="21">
        <v>2</v>
      </c>
      <c r="B53" s="21" t="s">
        <v>177</v>
      </c>
      <c r="C53" s="21">
        <v>0</v>
      </c>
      <c r="D53" s="21">
        <v>1</v>
      </c>
      <c r="E53" s="21" t="s">
        <v>94</v>
      </c>
      <c r="F53" s="21"/>
      <c r="G53" s="21"/>
      <c r="H53" s="21"/>
      <c r="I53" s="21" t="s">
        <v>95</v>
      </c>
      <c r="J53" s="21"/>
      <c r="K53" s="21"/>
      <c r="L53" s="21"/>
    </row>
    <row r="54" spans="1:12" x14ac:dyDescent="0.25">
      <c r="A54" s="21">
        <v>3</v>
      </c>
      <c r="B54" s="21" t="s">
        <v>122</v>
      </c>
      <c r="C54" s="21">
        <v>0</v>
      </c>
      <c r="D54" s="21">
        <v>1</v>
      </c>
      <c r="E54" s="21" t="s">
        <v>86</v>
      </c>
      <c r="F54" s="21" t="s">
        <v>88</v>
      </c>
      <c r="G54" s="21" t="s">
        <v>88</v>
      </c>
      <c r="H54" s="21" t="s">
        <v>88</v>
      </c>
      <c r="I54" s="21" t="s">
        <v>89</v>
      </c>
      <c r="J54" s="21" t="s">
        <v>88</v>
      </c>
      <c r="K54" s="21" t="s">
        <v>88</v>
      </c>
      <c r="L54" s="21" t="s">
        <v>88</v>
      </c>
    </row>
    <row r="55" spans="1:12" x14ac:dyDescent="0.25">
      <c r="A55" s="21">
        <v>4</v>
      </c>
      <c r="B55" s="21" t="s">
        <v>178</v>
      </c>
      <c r="C55" s="21">
        <v>0</v>
      </c>
      <c r="D55" s="21">
        <v>1</v>
      </c>
      <c r="E55" s="21" t="s">
        <v>88</v>
      </c>
      <c r="F55" s="21" t="s">
        <v>87</v>
      </c>
      <c r="G55" s="21" t="s">
        <v>88</v>
      </c>
      <c r="H55" s="21" t="s">
        <v>88</v>
      </c>
      <c r="I55" s="21" t="s">
        <v>88</v>
      </c>
      <c r="J55" s="21" t="s">
        <v>90</v>
      </c>
      <c r="K55" s="21" t="s">
        <v>88</v>
      </c>
      <c r="L55" s="21" t="s">
        <v>88</v>
      </c>
    </row>
    <row r="56" spans="1:12" x14ac:dyDescent="0.25">
      <c r="A56" s="21">
        <v>5</v>
      </c>
      <c r="B56" s="21" t="s">
        <v>179</v>
      </c>
      <c r="C56" s="21">
        <v>0</v>
      </c>
      <c r="D56" s="21">
        <v>1</v>
      </c>
      <c r="E56" s="21" t="s">
        <v>96</v>
      </c>
      <c r="F56" s="21"/>
      <c r="G56" s="21"/>
      <c r="H56" s="21"/>
      <c r="I56" s="21" t="s">
        <v>97</v>
      </c>
      <c r="J56" s="21"/>
      <c r="K56" s="21"/>
      <c r="L56" s="21"/>
    </row>
    <row r="57" spans="1:12" x14ac:dyDescent="0.25">
      <c r="A57" s="21">
        <v>6</v>
      </c>
      <c r="B57" s="21" t="s">
        <v>180</v>
      </c>
      <c r="C57" s="21">
        <v>1</v>
      </c>
      <c r="D57" s="21">
        <v>1</v>
      </c>
      <c r="E57" s="21" t="s">
        <v>86</v>
      </c>
      <c r="F57" s="21" t="s">
        <v>87</v>
      </c>
      <c r="G57" s="21" t="s">
        <v>88</v>
      </c>
      <c r="H57" s="21" t="s">
        <v>88</v>
      </c>
      <c r="I57" s="21" t="s">
        <v>89</v>
      </c>
      <c r="J57" s="21" t="s">
        <v>90</v>
      </c>
      <c r="K57" s="21" t="s">
        <v>88</v>
      </c>
      <c r="L57" s="21" t="s">
        <v>88</v>
      </c>
    </row>
    <row r="58" spans="1:12" x14ac:dyDescent="0.25">
      <c r="A58" s="21">
        <v>7</v>
      </c>
      <c r="B58" s="21" t="s">
        <v>21</v>
      </c>
      <c r="C58" s="21">
        <v>0</v>
      </c>
      <c r="D58" s="21">
        <v>1</v>
      </c>
      <c r="E58" s="21" t="s">
        <v>98</v>
      </c>
      <c r="F58" s="21"/>
      <c r="G58" s="21"/>
      <c r="H58" s="21"/>
      <c r="I58" s="21" t="s">
        <v>99</v>
      </c>
      <c r="J58" s="21"/>
      <c r="K58" s="21"/>
      <c r="L58" s="21"/>
    </row>
    <row r="59" spans="1:12" x14ac:dyDescent="0.25">
      <c r="A59" s="21">
        <v>8</v>
      </c>
      <c r="B59" s="21" t="s">
        <v>181</v>
      </c>
      <c r="C59" s="21">
        <v>0</v>
      </c>
      <c r="D59" s="21">
        <v>1</v>
      </c>
      <c r="E59" s="21" t="s">
        <v>100</v>
      </c>
      <c r="F59" s="21"/>
      <c r="G59" s="21"/>
      <c r="H59" s="21"/>
      <c r="I59" s="21" t="s">
        <v>101</v>
      </c>
      <c r="J59" s="21"/>
      <c r="K59" s="21"/>
      <c r="L59" s="21"/>
    </row>
    <row r="60" spans="1:12" x14ac:dyDescent="0.25">
      <c r="A60" s="21">
        <v>9</v>
      </c>
      <c r="B60" s="21" t="s">
        <v>182</v>
      </c>
      <c r="C60" s="21">
        <v>0</v>
      </c>
      <c r="D60" s="21">
        <v>1</v>
      </c>
      <c r="E60" s="21" t="s">
        <v>102</v>
      </c>
      <c r="F60" s="21"/>
      <c r="G60" s="21"/>
      <c r="H60" s="21"/>
      <c r="I60" s="21" t="s">
        <v>103</v>
      </c>
      <c r="J60" s="21"/>
      <c r="K60" s="21"/>
      <c r="L60" s="21"/>
    </row>
    <row r="61" spans="1:12" x14ac:dyDescent="0.25">
      <c r="A61" s="21" t="s">
        <v>104</v>
      </c>
      <c r="B61" s="21"/>
      <c r="C61" s="21"/>
      <c r="D61" s="21">
        <v>0</v>
      </c>
      <c r="E61" s="21"/>
      <c r="F61" s="21"/>
      <c r="G61" s="21"/>
      <c r="H61" s="21"/>
      <c r="I61" s="21"/>
      <c r="J61" s="21"/>
      <c r="K61" s="21"/>
      <c r="L61" s="21"/>
    </row>
    <row r="62" spans="1:12" x14ac:dyDescent="0.25">
      <c r="A62" s="21" t="s">
        <v>105</v>
      </c>
      <c r="B62" s="21"/>
      <c r="C62" s="21"/>
      <c r="D62" s="21">
        <v>0</v>
      </c>
      <c r="E62" s="21"/>
      <c r="F62" s="21"/>
      <c r="G62" s="21"/>
      <c r="H62" s="21"/>
      <c r="I62" s="21"/>
      <c r="J62" s="21"/>
      <c r="K62" s="21"/>
      <c r="L62" s="21"/>
    </row>
    <row r="63" spans="1:12" x14ac:dyDescent="0.25">
      <c r="A63" s="21" t="s">
        <v>106</v>
      </c>
      <c r="B63" s="21"/>
      <c r="C63" s="21"/>
      <c r="D63" s="21">
        <v>0</v>
      </c>
      <c r="E63" s="21"/>
      <c r="F63" s="21"/>
      <c r="G63" s="21"/>
      <c r="H63" s="21"/>
      <c r="I63" s="21"/>
      <c r="J63" s="21"/>
      <c r="K63" s="21"/>
      <c r="L63" s="21"/>
    </row>
    <row r="64" spans="1:12" x14ac:dyDescent="0.25">
      <c r="A64" s="21" t="s">
        <v>75</v>
      </c>
      <c r="B64" s="21"/>
      <c r="C64" s="21"/>
      <c r="D64" s="21">
        <v>0</v>
      </c>
      <c r="E64" s="21"/>
      <c r="F64" s="21"/>
      <c r="G64" s="21"/>
      <c r="H64" s="21"/>
      <c r="I64" s="21"/>
      <c r="J64" s="21"/>
      <c r="K64" s="21"/>
      <c r="L64" s="21"/>
    </row>
    <row r="65" spans="1:12" x14ac:dyDescent="0.25">
      <c r="A65" s="21" t="s">
        <v>107</v>
      </c>
      <c r="B65" s="21"/>
      <c r="C65" s="21"/>
      <c r="D65" s="21">
        <v>0</v>
      </c>
      <c r="E65" s="21"/>
      <c r="F65" s="21"/>
      <c r="G65" s="21"/>
      <c r="H65" s="21"/>
      <c r="I65" s="21"/>
      <c r="J65" s="21"/>
      <c r="K65" s="21"/>
      <c r="L65" s="21"/>
    </row>
    <row r="66" spans="1:12" x14ac:dyDescent="0.25">
      <c r="A66" s="21" t="s">
        <v>108</v>
      </c>
      <c r="B66" s="21"/>
      <c r="C66" s="21"/>
      <c r="D66" s="21">
        <v>0</v>
      </c>
      <c r="E66" s="21"/>
      <c r="F66" s="21"/>
      <c r="G66" s="21"/>
      <c r="H66" s="21"/>
      <c r="I66" s="21"/>
      <c r="J66" s="21"/>
      <c r="K66" s="21"/>
      <c r="L66" s="21"/>
    </row>
    <row r="69" spans="1:3" x14ac:dyDescent="0.25">
      <c r="A69" s="20" t="s">
        <v>109</v>
      </c>
      <c r="B69" s="20" t="s">
        <v>110</v>
      </c>
      <c r="C69" s="20" t="s">
        <v>111</v>
      </c>
    </row>
    <row r="70" spans="1:3" x14ac:dyDescent="0.25">
      <c r="A70" s="22" t="s">
        <v>112</v>
      </c>
      <c r="B70" s="22" t="s">
        <v>113</v>
      </c>
      <c r="C70" s="22">
        <v>4104</v>
      </c>
    </row>
    <row r="71" spans="1:3" x14ac:dyDescent="0.25">
      <c r="A71" s="22" t="s">
        <v>114</v>
      </c>
      <c r="B71" s="22" t="s">
        <v>115</v>
      </c>
      <c r="C71" s="22">
        <v>8200</v>
      </c>
    </row>
    <row r="72" spans="1:3" x14ac:dyDescent="0.25">
      <c r="A72" s="22" t="s">
        <v>116</v>
      </c>
      <c r="B72" s="22" t="s">
        <v>117</v>
      </c>
      <c r="C72" s="22">
        <v>8328</v>
      </c>
    </row>
    <row r="73" spans="1:3" x14ac:dyDescent="0.25">
      <c r="A73" s="22" t="s">
        <v>118</v>
      </c>
      <c r="B73" s="22" t="s">
        <v>13</v>
      </c>
      <c r="C73" s="22">
        <v>0</v>
      </c>
    </row>
    <row r="74" spans="1:3" x14ac:dyDescent="0.25">
      <c r="A74" s="22" t="s">
        <v>119</v>
      </c>
      <c r="B74" s="22" t="s">
        <v>120</v>
      </c>
      <c r="C74" s="22">
        <v>34</v>
      </c>
    </row>
    <row r="75" spans="1:3" x14ac:dyDescent="0.25">
      <c r="A75" s="22" t="s">
        <v>121</v>
      </c>
      <c r="B75" s="22" t="s">
        <v>122</v>
      </c>
      <c r="C75" s="22">
        <v>512</v>
      </c>
    </row>
    <row r="76" spans="1:3" x14ac:dyDescent="0.25">
      <c r="A76" s="22" t="s">
        <v>123</v>
      </c>
      <c r="B76" s="22" t="s">
        <v>124</v>
      </c>
      <c r="C76" s="22">
        <v>546</v>
      </c>
    </row>
  </sheetData>
  <mergeCells count="3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E51:H51"/>
    <mergeCell ref="I51:L51"/>
    <mergeCell ref="E52:H52"/>
    <mergeCell ref="I52:L52"/>
    <mergeCell ref="E53:H53"/>
    <mergeCell ref="I53:L53"/>
    <mergeCell ref="E56:H56"/>
    <mergeCell ref="I56:L56"/>
    <mergeCell ref="E58:H58"/>
    <mergeCell ref="I58:L58"/>
    <mergeCell ref="E59:H59"/>
    <mergeCell ref="I59:L59"/>
    <mergeCell ref="E60:H60"/>
    <mergeCell ref="I60:L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22" customWidth="1"/>
    <col min="4" max="4" width="11" customWidth="1"/>
    <col min="5" max="5" width="18" customWidth="1"/>
    <col min="6" max="6" width="8" customWidth="1"/>
    <col min="8" max="9" width="4" customWidth="1"/>
    <col min="10" max="17" width="4.3" customWidth="1"/>
  </cols>
  <sheetData>
    <row r="1" spans="1:17" x14ac:dyDescent="0.25">
      <c r="A1" s="24" t="s">
        <v>183</v>
      </c>
      <c r="B1" s="24" t="s">
        <v>184</v>
      </c>
      <c r="C1" s="24" t="s">
        <v>185</v>
      </c>
      <c r="D1" s="24" t="s">
        <v>186</v>
      </c>
      <c r="E1" s="24" t="s">
        <v>187</v>
      </c>
      <c r="F1" s="24" t="s">
        <v>188</v>
      </c>
      <c r="G1" s="24" t="s">
        <v>3</v>
      </c>
      <c r="H1" s="24" t="s">
        <v>75</v>
      </c>
      <c r="I1" s="24" t="s">
        <v>76</v>
      </c>
      <c r="J1" s="25" t="s">
        <v>77</v>
      </c>
      <c r="K1" s="25" t="s">
        <v>78</v>
      </c>
      <c r="L1" s="25" t="s">
        <v>79</v>
      </c>
      <c r="M1" s="25" t="s">
        <v>80</v>
      </c>
      <c r="N1" s="25" t="s">
        <v>81</v>
      </c>
      <c r="O1" s="25" t="s">
        <v>82</v>
      </c>
      <c r="P1" s="25" t="s">
        <v>83</v>
      </c>
      <c r="Q1" s="25" t="s">
        <v>84</v>
      </c>
    </row>
    <row r="2" spans="1:17" x14ac:dyDescent="0.25">
      <c r="A2" s="22">
        <v>1</v>
      </c>
      <c r="B2" s="22" t="s">
        <v>12</v>
      </c>
      <c r="C2" s="22" t="s">
        <v>11</v>
      </c>
      <c r="D2" s="22" t="s">
        <v>13</v>
      </c>
      <c r="E2" s="22" t="s">
        <v>14</v>
      </c>
      <c r="F2" s="22" t="s">
        <v>17</v>
      </c>
      <c r="G2" s="22" t="s">
        <v>91</v>
      </c>
      <c r="H2" s="22">
        <v>0</v>
      </c>
      <c r="I2" s="22">
        <v>1</v>
      </c>
      <c r="J2" s="21" t="s">
        <v>174</v>
      </c>
      <c r="K2" s="21"/>
      <c r="L2" s="21"/>
      <c r="M2" s="21"/>
      <c r="N2" s="21" t="s">
        <v>175</v>
      </c>
      <c r="O2" s="21"/>
      <c r="P2" s="21"/>
      <c r="Q2" s="21"/>
    </row>
    <row r="3" spans="1:17" x14ac:dyDescent="0.25">
      <c r="A3" s="22">
        <v>2</v>
      </c>
      <c r="B3" s="22" t="s">
        <v>12</v>
      </c>
      <c r="C3" s="22" t="s">
        <v>20</v>
      </c>
      <c r="D3" s="22" t="s">
        <v>21</v>
      </c>
      <c r="E3" s="22" t="s">
        <v>22</v>
      </c>
      <c r="F3" s="22" t="s">
        <v>17</v>
      </c>
      <c r="G3" s="22" t="s">
        <v>91</v>
      </c>
      <c r="H3" s="22">
        <v>0</v>
      </c>
      <c r="I3" s="22">
        <v>1</v>
      </c>
      <c r="J3" s="21" t="s">
        <v>174</v>
      </c>
      <c r="K3" s="21"/>
      <c r="L3" s="21"/>
      <c r="M3" s="21"/>
      <c r="N3" s="21" t="s">
        <v>175</v>
      </c>
      <c r="O3" s="21"/>
      <c r="P3" s="21"/>
      <c r="Q3" s="21"/>
    </row>
    <row r="4" spans="1:17" x14ac:dyDescent="0.25">
      <c r="A4" s="22">
        <v>3</v>
      </c>
      <c r="B4" s="22" t="s">
        <v>12</v>
      </c>
      <c r="C4" s="22" t="s">
        <v>24</v>
      </c>
      <c r="D4" s="22" t="s">
        <v>25</v>
      </c>
      <c r="E4" s="22" t="s">
        <v>14</v>
      </c>
      <c r="F4" s="22" t="s">
        <v>26</v>
      </c>
      <c r="G4" s="22" t="s">
        <v>91</v>
      </c>
      <c r="H4" s="22">
        <v>0</v>
      </c>
      <c r="I4" s="22">
        <v>1</v>
      </c>
      <c r="J4" s="21" t="s">
        <v>92</v>
      </c>
      <c r="K4" s="21"/>
      <c r="L4" s="21"/>
      <c r="M4" s="21"/>
      <c r="N4" s="21" t="s">
        <v>93</v>
      </c>
      <c r="O4" s="21"/>
      <c r="P4" s="21"/>
      <c r="Q4" s="21"/>
    </row>
    <row r="5" spans="1:17" x14ac:dyDescent="0.25">
      <c r="A5" s="22">
        <v>4</v>
      </c>
      <c r="B5" s="22" t="s">
        <v>12</v>
      </c>
      <c r="C5" s="22" t="s">
        <v>28</v>
      </c>
      <c r="D5" s="22" t="s">
        <v>29</v>
      </c>
      <c r="E5" s="22" t="s">
        <v>22</v>
      </c>
      <c r="F5" s="22" t="s">
        <v>26</v>
      </c>
      <c r="G5" s="22" t="s">
        <v>91</v>
      </c>
      <c r="H5" s="22">
        <v>0</v>
      </c>
      <c r="I5" s="22">
        <v>1</v>
      </c>
      <c r="J5" s="21" t="s">
        <v>92</v>
      </c>
      <c r="K5" s="21"/>
      <c r="L5" s="21"/>
      <c r="M5" s="21"/>
      <c r="N5" s="21" t="s">
        <v>93</v>
      </c>
      <c r="O5" s="21"/>
      <c r="P5" s="21"/>
      <c r="Q5" s="21"/>
    </row>
    <row r="6" spans="1:17" x14ac:dyDescent="0.25">
      <c r="A6" s="22">
        <v>5</v>
      </c>
      <c r="B6" s="22" t="s">
        <v>12</v>
      </c>
      <c r="C6" s="22" t="s">
        <v>30</v>
      </c>
      <c r="D6" s="22" t="s">
        <v>31</v>
      </c>
      <c r="E6" s="22" t="s">
        <v>14</v>
      </c>
      <c r="F6" s="22" t="s">
        <v>32</v>
      </c>
      <c r="G6" s="22" t="s">
        <v>91</v>
      </c>
      <c r="H6" s="22">
        <v>0</v>
      </c>
      <c r="I6" s="22">
        <v>1</v>
      </c>
      <c r="J6" s="21" t="s">
        <v>94</v>
      </c>
      <c r="K6" s="21"/>
      <c r="L6" s="21"/>
      <c r="M6" s="21"/>
      <c r="N6" s="21" t="s">
        <v>95</v>
      </c>
      <c r="O6" s="21"/>
      <c r="P6" s="21"/>
      <c r="Q6" s="21"/>
    </row>
    <row r="7" spans="1:17" x14ac:dyDescent="0.25">
      <c r="A7" s="22">
        <v>6</v>
      </c>
      <c r="B7" s="22" t="s">
        <v>19</v>
      </c>
      <c r="C7" s="22" t="s">
        <v>30</v>
      </c>
      <c r="D7" s="22" t="s">
        <v>34</v>
      </c>
      <c r="E7" s="22" t="s">
        <v>189</v>
      </c>
      <c r="F7" s="22" t="s">
        <v>17</v>
      </c>
      <c r="G7" s="22" t="s">
        <v>190</v>
      </c>
      <c r="H7" s="22">
        <v>0</v>
      </c>
      <c r="I7" s="22">
        <v>1</v>
      </c>
      <c r="J7" s="21" t="s">
        <v>86</v>
      </c>
      <c r="K7" s="21" t="s">
        <v>88</v>
      </c>
      <c r="L7" s="21" t="s">
        <v>88</v>
      </c>
      <c r="M7" s="21" t="s">
        <v>88</v>
      </c>
      <c r="N7" s="21" t="s">
        <v>89</v>
      </c>
      <c r="O7" s="21" t="s">
        <v>88</v>
      </c>
      <c r="P7" s="21" t="s">
        <v>88</v>
      </c>
      <c r="Q7" s="21" t="s">
        <v>88</v>
      </c>
    </row>
    <row r="8" spans="1:17" x14ac:dyDescent="0.25">
      <c r="A8" s="22">
        <v>7</v>
      </c>
      <c r="B8" s="22" t="s">
        <v>12</v>
      </c>
      <c r="C8" s="22" t="s">
        <v>37</v>
      </c>
      <c r="D8" s="22" t="s">
        <v>38</v>
      </c>
      <c r="E8" s="22" t="s">
        <v>22</v>
      </c>
      <c r="F8" s="22" t="s">
        <v>32</v>
      </c>
      <c r="G8" s="22" t="s">
        <v>91</v>
      </c>
      <c r="H8" s="22">
        <v>0</v>
      </c>
      <c r="I8" s="22">
        <v>1</v>
      </c>
      <c r="J8" s="21" t="s">
        <v>94</v>
      </c>
      <c r="K8" s="21"/>
      <c r="L8" s="21"/>
      <c r="M8" s="21"/>
      <c r="N8" s="21" t="s">
        <v>95</v>
      </c>
      <c r="O8" s="21"/>
      <c r="P8" s="21"/>
      <c r="Q8" s="21"/>
    </row>
    <row r="9" spans="1:17" x14ac:dyDescent="0.25">
      <c r="A9" s="22">
        <v>8</v>
      </c>
      <c r="B9" s="22" t="s">
        <v>19</v>
      </c>
      <c r="C9" s="22" t="s">
        <v>37</v>
      </c>
      <c r="D9" s="22" t="s">
        <v>39</v>
      </c>
      <c r="E9" s="22" t="s">
        <v>189</v>
      </c>
      <c r="F9" s="22" t="s">
        <v>17</v>
      </c>
      <c r="G9" s="22" t="s">
        <v>191</v>
      </c>
      <c r="H9" s="22">
        <v>0</v>
      </c>
      <c r="I9" s="22">
        <v>1</v>
      </c>
      <c r="J9" s="21" t="s">
        <v>88</v>
      </c>
      <c r="K9" s="21" t="s">
        <v>87</v>
      </c>
      <c r="L9" s="21" t="s">
        <v>88</v>
      </c>
      <c r="M9" s="21" t="s">
        <v>88</v>
      </c>
      <c r="N9" s="21" t="s">
        <v>88</v>
      </c>
      <c r="O9" s="21" t="s">
        <v>90</v>
      </c>
      <c r="P9" s="21" t="s">
        <v>88</v>
      </c>
      <c r="Q9" s="21" t="s">
        <v>88</v>
      </c>
    </row>
    <row r="10" spans="1:17" x14ac:dyDescent="0.25">
      <c r="A10" s="22">
        <v>9</v>
      </c>
      <c r="B10" s="22" t="s">
        <v>12</v>
      </c>
      <c r="C10" s="22" t="s">
        <v>41</v>
      </c>
      <c r="D10" s="22" t="s">
        <v>42</v>
      </c>
      <c r="E10" s="22" t="s">
        <v>14</v>
      </c>
      <c r="F10" s="22" t="s">
        <v>43</v>
      </c>
      <c r="G10" s="22" t="s">
        <v>91</v>
      </c>
      <c r="H10" s="22">
        <v>0</v>
      </c>
      <c r="I10" s="22">
        <v>1</v>
      </c>
      <c r="J10" s="21" t="s">
        <v>96</v>
      </c>
      <c r="K10" s="21"/>
      <c r="L10" s="21"/>
      <c r="M10" s="21"/>
      <c r="N10" s="21" t="s">
        <v>97</v>
      </c>
      <c r="O10" s="21"/>
      <c r="P10" s="21"/>
      <c r="Q10" s="21"/>
    </row>
    <row r="11" spans="1:17" x14ac:dyDescent="0.25">
      <c r="A11" s="22">
        <v>10</v>
      </c>
      <c r="B11" s="22" t="s">
        <v>12</v>
      </c>
      <c r="C11" s="22" t="s">
        <v>45</v>
      </c>
      <c r="D11" s="22" t="s">
        <v>46</v>
      </c>
      <c r="E11" s="22" t="s">
        <v>22</v>
      </c>
      <c r="F11" s="22" t="s">
        <v>43</v>
      </c>
      <c r="G11" s="22" t="s">
        <v>91</v>
      </c>
      <c r="H11" s="22">
        <v>0</v>
      </c>
      <c r="I11" s="22">
        <v>1</v>
      </c>
      <c r="J11" s="21" t="s">
        <v>96</v>
      </c>
      <c r="K11" s="21"/>
      <c r="L11" s="21"/>
      <c r="M11" s="21"/>
      <c r="N11" s="21" t="s">
        <v>97</v>
      </c>
      <c r="O11" s="21"/>
      <c r="P11" s="21"/>
      <c r="Q11" s="21"/>
    </row>
    <row r="12" spans="1:17" x14ac:dyDescent="0.25">
      <c r="A12" s="22">
        <v>11</v>
      </c>
      <c r="B12" s="22" t="s">
        <v>19</v>
      </c>
      <c r="C12" s="22" t="s">
        <v>45</v>
      </c>
      <c r="D12" s="22" t="s">
        <v>47</v>
      </c>
      <c r="E12" s="22" t="s">
        <v>189</v>
      </c>
      <c r="F12" s="22" t="s">
        <v>17</v>
      </c>
      <c r="G12" s="22" t="s">
        <v>85</v>
      </c>
      <c r="H12" s="22">
        <v>1</v>
      </c>
      <c r="I12" s="22">
        <v>1</v>
      </c>
      <c r="J12" s="21" t="s">
        <v>86</v>
      </c>
      <c r="K12" s="21" t="s">
        <v>87</v>
      </c>
      <c r="L12" s="21" t="s">
        <v>88</v>
      </c>
      <c r="M12" s="21" t="s">
        <v>88</v>
      </c>
      <c r="N12" s="21" t="s">
        <v>88</v>
      </c>
      <c r="O12" s="21" t="s">
        <v>88</v>
      </c>
      <c r="P12" s="21" t="s">
        <v>88</v>
      </c>
      <c r="Q12" s="21" t="s">
        <v>88</v>
      </c>
    </row>
    <row r="13" spans="1:17" x14ac:dyDescent="0.25">
      <c r="A13" s="22">
        <v>12</v>
      </c>
      <c r="B13" s="22" t="s">
        <v>12</v>
      </c>
      <c r="C13" s="22" t="s">
        <v>49</v>
      </c>
      <c r="D13" s="22" t="s">
        <v>50</v>
      </c>
      <c r="E13" s="22" t="s">
        <v>14</v>
      </c>
      <c r="F13" s="22" t="s">
        <v>51</v>
      </c>
      <c r="G13" s="22" t="s">
        <v>91</v>
      </c>
      <c r="H13" s="22">
        <v>0</v>
      </c>
      <c r="I13" s="22">
        <v>1</v>
      </c>
      <c r="J13" s="21" t="s">
        <v>98</v>
      </c>
      <c r="K13" s="21"/>
      <c r="L13" s="21"/>
      <c r="M13" s="21"/>
      <c r="N13" s="21" t="s">
        <v>99</v>
      </c>
      <c r="O13" s="21"/>
      <c r="P13" s="21"/>
      <c r="Q13" s="21"/>
    </row>
    <row r="14" spans="1:17" x14ac:dyDescent="0.25">
      <c r="A14" s="22">
        <v>13</v>
      </c>
      <c r="B14" s="22" t="s">
        <v>12</v>
      </c>
      <c r="C14" s="22" t="s">
        <v>53</v>
      </c>
      <c r="D14" s="22" t="s">
        <v>54</v>
      </c>
      <c r="E14" s="22" t="s">
        <v>22</v>
      </c>
      <c r="F14" s="22" t="s">
        <v>51</v>
      </c>
      <c r="G14" s="22" t="s">
        <v>91</v>
      </c>
      <c r="H14" s="22">
        <v>0</v>
      </c>
      <c r="I14" s="22">
        <v>1</v>
      </c>
      <c r="J14" s="21" t="s">
        <v>98</v>
      </c>
      <c r="K14" s="21"/>
      <c r="L14" s="21"/>
      <c r="M14" s="21"/>
      <c r="N14" s="21" t="s">
        <v>99</v>
      </c>
      <c r="O14" s="21"/>
      <c r="P14" s="21"/>
      <c r="Q14" s="21"/>
    </row>
    <row r="15" spans="1:17" x14ac:dyDescent="0.25">
      <c r="A15" s="22">
        <v>14</v>
      </c>
      <c r="B15" s="22" t="s">
        <v>12</v>
      </c>
      <c r="C15" s="22" t="s">
        <v>55</v>
      </c>
      <c r="D15" s="22" t="s">
        <v>56</v>
      </c>
      <c r="E15" s="22" t="s">
        <v>14</v>
      </c>
      <c r="F15" s="22" t="s">
        <v>57</v>
      </c>
      <c r="G15" s="22" t="s">
        <v>91</v>
      </c>
      <c r="H15" s="22">
        <v>0</v>
      </c>
      <c r="I15" s="22">
        <v>1</v>
      </c>
      <c r="J15" s="21" t="s">
        <v>100</v>
      </c>
      <c r="K15" s="21"/>
      <c r="L15" s="21"/>
      <c r="M15" s="21"/>
      <c r="N15" s="21" t="s">
        <v>101</v>
      </c>
      <c r="O15" s="21"/>
      <c r="P15" s="21"/>
      <c r="Q15" s="21"/>
    </row>
    <row r="16" spans="1:17" x14ac:dyDescent="0.25">
      <c r="A16" s="22">
        <v>15</v>
      </c>
      <c r="B16" s="22" t="s">
        <v>12</v>
      </c>
      <c r="C16" s="22" t="s">
        <v>59</v>
      </c>
      <c r="D16" s="22" t="s">
        <v>60</v>
      </c>
      <c r="E16" s="22" t="s">
        <v>22</v>
      </c>
      <c r="F16" s="22" t="s">
        <v>57</v>
      </c>
      <c r="G16" s="22" t="s">
        <v>91</v>
      </c>
      <c r="H16" s="22">
        <v>0</v>
      </c>
      <c r="I16" s="22">
        <v>1</v>
      </c>
      <c r="J16" s="21" t="s">
        <v>100</v>
      </c>
      <c r="K16" s="21"/>
      <c r="L16" s="21"/>
      <c r="M16" s="21"/>
      <c r="N16" s="21" t="s">
        <v>101</v>
      </c>
      <c r="O16" s="21"/>
      <c r="P16" s="21"/>
      <c r="Q16" s="21"/>
    </row>
    <row r="17" spans="1:17" x14ac:dyDescent="0.25">
      <c r="A17" s="22">
        <v>16</v>
      </c>
      <c r="B17" s="22" t="s">
        <v>12</v>
      </c>
      <c r="C17" s="22" t="s">
        <v>61</v>
      </c>
      <c r="D17" s="22" t="s">
        <v>62</v>
      </c>
      <c r="E17" s="22" t="s">
        <v>14</v>
      </c>
      <c r="F17" s="22" t="s">
        <v>63</v>
      </c>
      <c r="G17" s="22" t="s">
        <v>91</v>
      </c>
      <c r="H17" s="22">
        <v>0</v>
      </c>
      <c r="I17" s="22">
        <v>1</v>
      </c>
      <c r="J17" s="21" t="s">
        <v>102</v>
      </c>
      <c r="K17" s="21"/>
      <c r="L17" s="21"/>
      <c r="M17" s="21"/>
      <c r="N17" s="21" t="s">
        <v>103</v>
      </c>
      <c r="O17" s="21"/>
      <c r="P17" s="21"/>
      <c r="Q17" s="21"/>
    </row>
    <row r="18" spans="1:17" x14ac:dyDescent="0.25">
      <c r="A18" s="22">
        <v>17</v>
      </c>
      <c r="B18" s="22" t="s">
        <v>12</v>
      </c>
      <c r="C18" s="22" t="s">
        <v>30</v>
      </c>
      <c r="D18" s="22" t="s">
        <v>31</v>
      </c>
      <c r="E18" s="22" t="s">
        <v>22</v>
      </c>
      <c r="F18" s="22" t="s">
        <v>32</v>
      </c>
      <c r="G18" s="22" t="s">
        <v>91</v>
      </c>
      <c r="H18" s="22">
        <v>0</v>
      </c>
      <c r="I18" s="22">
        <v>1</v>
      </c>
      <c r="J18" s="21" t="s">
        <v>94</v>
      </c>
      <c r="K18" s="21"/>
      <c r="L18" s="21"/>
      <c r="M18" s="21"/>
      <c r="N18" s="21" t="s">
        <v>95</v>
      </c>
      <c r="O18" s="21"/>
      <c r="P18" s="21"/>
      <c r="Q18" s="21"/>
    </row>
    <row r="19" spans="1:17" x14ac:dyDescent="0.25">
      <c r="A19" s="22">
        <v>18</v>
      </c>
      <c r="B19" s="22" t="s">
        <v>19</v>
      </c>
      <c r="C19" s="22" t="s">
        <v>30</v>
      </c>
      <c r="D19" s="22" t="s">
        <v>65</v>
      </c>
      <c r="E19" s="22" t="s">
        <v>189</v>
      </c>
      <c r="F19" s="22" t="s">
        <v>17</v>
      </c>
      <c r="G19" s="22" t="s">
        <v>190</v>
      </c>
      <c r="H19" s="22">
        <v>0</v>
      </c>
      <c r="I19" s="22">
        <v>1</v>
      </c>
      <c r="J19" s="21" t="s">
        <v>86</v>
      </c>
      <c r="K19" s="21" t="s">
        <v>88</v>
      </c>
      <c r="L19" s="21" t="s">
        <v>88</v>
      </c>
      <c r="M19" s="21" t="s">
        <v>88</v>
      </c>
      <c r="N19" s="21" t="s">
        <v>89</v>
      </c>
      <c r="O19" s="21" t="s">
        <v>88</v>
      </c>
      <c r="P19" s="21" t="s">
        <v>88</v>
      </c>
      <c r="Q19" s="21" t="s">
        <v>88</v>
      </c>
    </row>
    <row r="20" spans="1:17" x14ac:dyDescent="0.25">
      <c r="A20" s="22">
        <v>19</v>
      </c>
      <c r="B20" s="22" t="s">
        <v>12</v>
      </c>
      <c r="C20" s="22" t="s">
        <v>37</v>
      </c>
      <c r="D20" s="22" t="s">
        <v>38</v>
      </c>
      <c r="E20" s="22" t="s">
        <v>22</v>
      </c>
      <c r="F20" s="22" t="s">
        <v>32</v>
      </c>
      <c r="G20" s="22" t="s">
        <v>91</v>
      </c>
      <c r="H20" s="22">
        <v>0</v>
      </c>
      <c r="I20" s="22">
        <v>1</v>
      </c>
      <c r="J20" s="21" t="s">
        <v>94</v>
      </c>
      <c r="K20" s="21"/>
      <c r="L20" s="21"/>
      <c r="M20" s="21"/>
      <c r="N20" s="21" t="s">
        <v>95</v>
      </c>
      <c r="O20" s="21"/>
      <c r="P20" s="21"/>
      <c r="Q20" s="21"/>
    </row>
    <row r="21" spans="1:17" x14ac:dyDescent="0.25">
      <c r="A21" s="22">
        <v>20</v>
      </c>
      <c r="B21" s="22" t="s">
        <v>19</v>
      </c>
      <c r="C21" s="22" t="s">
        <v>37</v>
      </c>
      <c r="D21" s="22" t="s">
        <v>68</v>
      </c>
      <c r="E21" s="22" t="s">
        <v>189</v>
      </c>
      <c r="F21" s="22" t="s">
        <v>17</v>
      </c>
      <c r="G21" s="22" t="s">
        <v>191</v>
      </c>
      <c r="H21" s="22">
        <v>0</v>
      </c>
      <c r="I21" s="22">
        <v>1</v>
      </c>
      <c r="J21" s="21" t="s">
        <v>88</v>
      </c>
      <c r="K21" s="21" t="s">
        <v>87</v>
      </c>
      <c r="L21" s="21" t="s">
        <v>88</v>
      </c>
      <c r="M21" s="21" t="s">
        <v>88</v>
      </c>
      <c r="N21" s="21" t="s">
        <v>88</v>
      </c>
      <c r="O21" s="21" t="s">
        <v>90</v>
      </c>
      <c r="P21" s="21" t="s">
        <v>88</v>
      </c>
      <c r="Q21" s="21" t="s">
        <v>88</v>
      </c>
    </row>
    <row r="22" spans="1:17" x14ac:dyDescent="0.25">
      <c r="A22" s="22">
        <v>21</v>
      </c>
      <c r="B22" s="22" t="s">
        <v>12</v>
      </c>
      <c r="C22" s="22" t="s">
        <v>41</v>
      </c>
      <c r="D22" s="22" t="s">
        <v>42</v>
      </c>
      <c r="E22" s="22" t="s">
        <v>22</v>
      </c>
      <c r="F22" s="22" t="s">
        <v>43</v>
      </c>
      <c r="G22" s="22" t="s">
        <v>91</v>
      </c>
      <c r="H22" s="22">
        <v>0</v>
      </c>
      <c r="I22" s="22">
        <v>1</v>
      </c>
      <c r="J22" s="21" t="s">
        <v>96</v>
      </c>
      <c r="K22" s="21"/>
      <c r="L22" s="21"/>
      <c r="M22" s="21"/>
      <c r="N22" s="21" t="s">
        <v>97</v>
      </c>
      <c r="O22" s="21"/>
      <c r="P22" s="21"/>
      <c r="Q22" s="21"/>
    </row>
    <row r="23" spans="1:17" x14ac:dyDescent="0.25">
      <c r="A23" s="22">
        <v>22</v>
      </c>
      <c r="B23" s="22" t="s">
        <v>12</v>
      </c>
      <c r="C23" s="22" t="s">
        <v>45</v>
      </c>
      <c r="D23" s="22" t="s">
        <v>46</v>
      </c>
      <c r="E23" s="22" t="s">
        <v>22</v>
      </c>
      <c r="F23" s="22" t="s">
        <v>43</v>
      </c>
      <c r="G23" s="22" t="s">
        <v>91</v>
      </c>
      <c r="H23" s="22">
        <v>0</v>
      </c>
      <c r="I23" s="22">
        <v>1</v>
      </c>
      <c r="J23" s="21" t="s">
        <v>96</v>
      </c>
      <c r="K23" s="21"/>
      <c r="L23" s="21"/>
      <c r="M23" s="21"/>
      <c r="N23" s="21" t="s">
        <v>97</v>
      </c>
      <c r="O23" s="21"/>
      <c r="P23" s="21"/>
      <c r="Q23" s="21"/>
    </row>
    <row r="24" spans="1:17" x14ac:dyDescent="0.25">
      <c r="A24" s="22">
        <v>23</v>
      </c>
      <c r="B24" s="22" t="s">
        <v>19</v>
      </c>
      <c r="C24" s="22" t="s">
        <v>45</v>
      </c>
      <c r="D24" s="22" t="s">
        <v>70</v>
      </c>
      <c r="E24" s="22" t="s">
        <v>189</v>
      </c>
      <c r="F24" s="22" t="s">
        <v>17</v>
      </c>
      <c r="G24" s="22" t="s">
        <v>85</v>
      </c>
      <c r="H24" s="22">
        <v>1</v>
      </c>
      <c r="I24" s="22">
        <v>1</v>
      </c>
      <c r="J24" s="21" t="s">
        <v>86</v>
      </c>
      <c r="K24" s="21" t="s">
        <v>87</v>
      </c>
      <c r="L24" s="21" t="s">
        <v>88</v>
      </c>
      <c r="M24" s="21" t="s">
        <v>88</v>
      </c>
      <c r="N24" s="21" t="s">
        <v>89</v>
      </c>
      <c r="O24" s="21" t="s">
        <v>90</v>
      </c>
      <c r="P24" s="21" t="s">
        <v>88</v>
      </c>
      <c r="Q24" s="21" t="s">
        <v>88</v>
      </c>
    </row>
    <row r="25" spans="1:17" x14ac:dyDescent="0.25">
      <c r="A25" s="22">
        <v>24</v>
      </c>
      <c r="B25" s="22" t="s">
        <v>12</v>
      </c>
      <c r="C25" s="22" t="s">
        <v>49</v>
      </c>
      <c r="D25" s="22" t="s">
        <v>50</v>
      </c>
      <c r="E25" s="22" t="s">
        <v>22</v>
      </c>
      <c r="F25" s="22" t="s">
        <v>51</v>
      </c>
      <c r="G25" s="22" t="s">
        <v>91</v>
      </c>
      <c r="H25" s="22">
        <v>0</v>
      </c>
      <c r="I25" s="22">
        <v>1</v>
      </c>
      <c r="J25" s="21" t="s">
        <v>98</v>
      </c>
      <c r="K25" s="21"/>
      <c r="L25" s="21"/>
      <c r="M25" s="21"/>
      <c r="N25" s="21" t="s">
        <v>99</v>
      </c>
      <c r="O25" s="21"/>
      <c r="P25" s="21"/>
      <c r="Q25" s="21"/>
    </row>
    <row r="26" spans="1:17" x14ac:dyDescent="0.25">
      <c r="A26" s="22">
        <v>25</v>
      </c>
      <c r="B26" s="22" t="s">
        <v>12</v>
      </c>
      <c r="C26" s="22" t="s">
        <v>53</v>
      </c>
      <c r="D26" s="22" t="s">
        <v>54</v>
      </c>
      <c r="E26" s="22" t="s">
        <v>22</v>
      </c>
      <c r="F26" s="22" t="s">
        <v>51</v>
      </c>
      <c r="G26" s="22" t="s">
        <v>91</v>
      </c>
      <c r="H26" s="22">
        <v>0</v>
      </c>
      <c r="I26" s="22">
        <v>1</v>
      </c>
      <c r="J26" s="21" t="s">
        <v>98</v>
      </c>
      <c r="K26" s="21"/>
      <c r="L26" s="21"/>
      <c r="M26" s="21"/>
      <c r="N26" s="21" t="s">
        <v>99</v>
      </c>
      <c r="O26" s="21"/>
      <c r="P26" s="21"/>
      <c r="Q26" s="21"/>
    </row>
    <row r="27" spans="1:17" x14ac:dyDescent="0.25">
      <c r="A27" s="22">
        <v>26</v>
      </c>
      <c r="B27" s="22" t="s">
        <v>12</v>
      </c>
      <c r="C27" s="22" t="s">
        <v>55</v>
      </c>
      <c r="D27" s="22" t="s">
        <v>56</v>
      </c>
      <c r="E27" s="22" t="s">
        <v>22</v>
      </c>
      <c r="F27" s="22" t="s">
        <v>57</v>
      </c>
      <c r="G27" s="22" t="s">
        <v>91</v>
      </c>
      <c r="H27" s="22">
        <v>0</v>
      </c>
      <c r="I27" s="22">
        <v>1</v>
      </c>
      <c r="J27" s="21" t="s">
        <v>100</v>
      </c>
      <c r="K27" s="21"/>
      <c r="L27" s="21"/>
      <c r="M27" s="21"/>
      <c r="N27" s="21" t="s">
        <v>101</v>
      </c>
      <c r="O27" s="21"/>
      <c r="P27" s="21"/>
      <c r="Q27" s="21"/>
    </row>
    <row r="28" spans="1:17" x14ac:dyDescent="0.25">
      <c r="A28" s="22">
        <v>27</v>
      </c>
      <c r="B28" s="22" t="s">
        <v>12</v>
      </c>
      <c r="C28" s="22" t="s">
        <v>59</v>
      </c>
      <c r="D28" s="22" t="s">
        <v>60</v>
      </c>
      <c r="E28" s="22" t="s">
        <v>22</v>
      </c>
      <c r="F28" s="22" t="s">
        <v>57</v>
      </c>
      <c r="G28" s="22" t="s">
        <v>91</v>
      </c>
      <c r="H28" s="22">
        <v>0</v>
      </c>
      <c r="I28" s="22">
        <v>1</v>
      </c>
      <c r="J28" s="21" t="s">
        <v>100</v>
      </c>
      <c r="K28" s="21"/>
      <c r="L28" s="21"/>
      <c r="M28" s="21"/>
      <c r="N28" s="21" t="s">
        <v>101</v>
      </c>
      <c r="O28" s="21"/>
      <c r="P28" s="21"/>
      <c r="Q28" s="21"/>
    </row>
    <row r="29" spans="1:17" x14ac:dyDescent="0.25">
      <c r="A29" s="22">
        <v>28</v>
      </c>
      <c r="B29" s="22" t="s">
        <v>12</v>
      </c>
      <c r="C29" s="22" t="s">
        <v>61</v>
      </c>
      <c r="D29" s="22" t="s">
        <v>62</v>
      </c>
      <c r="E29" s="22" t="s">
        <v>22</v>
      </c>
      <c r="F29" s="22" t="s">
        <v>63</v>
      </c>
      <c r="G29" s="22" t="s">
        <v>91</v>
      </c>
      <c r="H29" s="22">
        <v>0</v>
      </c>
      <c r="I29" s="22">
        <v>1</v>
      </c>
      <c r="J29" s="21" t="s">
        <v>102</v>
      </c>
      <c r="K29" s="21"/>
      <c r="L29" s="21"/>
      <c r="M29" s="21"/>
      <c r="N29" s="21" t="s">
        <v>103</v>
      </c>
      <c r="O29" s="21"/>
      <c r="P29" s="21"/>
      <c r="Q29" s="21"/>
    </row>
    <row r="30" spans="1:17" x14ac:dyDescent="0.25">
      <c r="A30" s="22">
        <v>29</v>
      </c>
      <c r="B30" s="22" t="s">
        <v>12</v>
      </c>
      <c r="C30" s="22" t="s">
        <v>72</v>
      </c>
      <c r="D30" s="22" t="s">
        <v>73</v>
      </c>
      <c r="E30" s="22" t="s">
        <v>22</v>
      </c>
      <c r="F30" s="22" t="s">
        <v>63</v>
      </c>
      <c r="G30" s="22" t="s">
        <v>91</v>
      </c>
      <c r="H30" s="22">
        <v>0</v>
      </c>
      <c r="I30" s="22">
        <v>1</v>
      </c>
      <c r="J30" s="21" t="s">
        <v>102</v>
      </c>
      <c r="K30" s="21"/>
      <c r="L30" s="21"/>
      <c r="M30" s="21"/>
      <c r="N30" s="21" t="s">
        <v>103</v>
      </c>
      <c r="O30" s="21"/>
      <c r="P30" s="21"/>
      <c r="Q30" s="21"/>
    </row>
  </sheetData>
  <mergeCells count="46">
    <mergeCell ref="J2:M2"/>
    <mergeCell ref="N2:Q2"/>
    <mergeCell ref="J3:M3"/>
    <mergeCell ref="N3:Q3"/>
    <mergeCell ref="J4:M4"/>
    <mergeCell ref="N4:Q4"/>
    <mergeCell ref="J5:M5"/>
    <mergeCell ref="N5:Q5"/>
    <mergeCell ref="J6:M6"/>
    <mergeCell ref="N6:Q6"/>
    <mergeCell ref="J8:M8"/>
    <mergeCell ref="N8:Q8"/>
    <mergeCell ref="J10:M10"/>
    <mergeCell ref="N10:Q10"/>
    <mergeCell ref="J11:M11"/>
    <mergeCell ref="N11:Q11"/>
    <mergeCell ref="J13:M13"/>
    <mergeCell ref="N13:Q13"/>
    <mergeCell ref="J14:M14"/>
    <mergeCell ref="N14:Q14"/>
    <mergeCell ref="J15:M15"/>
    <mergeCell ref="N15:Q15"/>
    <mergeCell ref="J16:M16"/>
    <mergeCell ref="N16:Q16"/>
    <mergeCell ref="J17:M17"/>
    <mergeCell ref="N17:Q17"/>
    <mergeCell ref="J18:M18"/>
    <mergeCell ref="N18:Q18"/>
    <mergeCell ref="J20:M20"/>
    <mergeCell ref="N20:Q20"/>
    <mergeCell ref="J22:M22"/>
    <mergeCell ref="N22:Q22"/>
    <mergeCell ref="J23:M23"/>
    <mergeCell ref="N23:Q23"/>
    <mergeCell ref="J25:M25"/>
    <mergeCell ref="N25:Q25"/>
    <mergeCell ref="J26:M26"/>
    <mergeCell ref="N26:Q26"/>
    <mergeCell ref="J27:M27"/>
    <mergeCell ref="N27:Q27"/>
    <mergeCell ref="J28:M28"/>
    <mergeCell ref="N28:Q28"/>
    <mergeCell ref="J29:M29"/>
    <mergeCell ref="N29:Q29"/>
    <mergeCell ref="J30:M30"/>
    <mergeCell ref="N30:Q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22" customWidth="1"/>
    <col min="4" max="4" width="11" customWidth="1"/>
    <col min="5" max="5" width="18" customWidth="1"/>
    <col min="6" max="6" width="8" customWidth="1"/>
    <col min="8" max="9" width="4" customWidth="1"/>
    <col min="10" max="17" width="4.3" customWidth="1"/>
  </cols>
  <sheetData>
    <row r="1" spans="1:17" x14ac:dyDescent="0.25">
      <c r="A1" s="24" t="s">
        <v>183</v>
      </c>
      <c r="B1" s="24" t="s">
        <v>184</v>
      </c>
      <c r="C1" s="24" t="s">
        <v>185</v>
      </c>
      <c r="D1" s="24" t="s">
        <v>186</v>
      </c>
      <c r="E1" s="24" t="s">
        <v>187</v>
      </c>
      <c r="F1" s="24" t="s">
        <v>188</v>
      </c>
      <c r="G1" s="24" t="s">
        <v>3</v>
      </c>
      <c r="H1" s="24" t="s">
        <v>75</v>
      </c>
      <c r="I1" s="24" t="s">
        <v>76</v>
      </c>
      <c r="J1" s="25" t="s">
        <v>77</v>
      </c>
      <c r="K1" s="25" t="s">
        <v>78</v>
      </c>
      <c r="L1" s="25" t="s">
        <v>79</v>
      </c>
      <c r="M1" s="25" t="s">
        <v>80</v>
      </c>
      <c r="N1" s="25" t="s">
        <v>81</v>
      </c>
      <c r="O1" s="25" t="s">
        <v>82</v>
      </c>
      <c r="P1" s="25" t="s">
        <v>83</v>
      </c>
      <c r="Q1" s="25" t="s">
        <v>84</v>
      </c>
    </row>
    <row r="2" spans="1:17" x14ac:dyDescent="0.25">
      <c r="A2" s="22">
        <v>1</v>
      </c>
      <c r="B2" s="22" t="s">
        <v>12</v>
      </c>
      <c r="C2" s="22" t="s">
        <v>11</v>
      </c>
      <c r="D2" s="22" t="s">
        <v>13</v>
      </c>
      <c r="E2" s="22" t="s">
        <v>14</v>
      </c>
      <c r="F2" s="22" t="s">
        <v>17</v>
      </c>
      <c r="G2" s="22" t="s">
        <v>91</v>
      </c>
      <c r="H2" s="22">
        <v>0</v>
      </c>
      <c r="I2" s="22">
        <v>1</v>
      </c>
      <c r="J2" s="21" t="s">
        <v>174</v>
      </c>
      <c r="K2" s="21"/>
      <c r="L2" s="21"/>
      <c r="M2" s="21"/>
      <c r="N2" s="21" t="s">
        <v>175</v>
      </c>
      <c r="O2" s="21"/>
      <c r="P2" s="21"/>
      <c r="Q2" s="21"/>
    </row>
    <row r="3" spans="1:17" x14ac:dyDescent="0.25">
      <c r="A3" s="22">
        <v>2</v>
      </c>
      <c r="B3" s="22" t="s">
        <v>12</v>
      </c>
      <c r="C3" s="22" t="s">
        <v>20</v>
      </c>
      <c r="D3" s="22" t="s">
        <v>21</v>
      </c>
      <c r="E3" s="22" t="s">
        <v>22</v>
      </c>
      <c r="F3" s="22" t="s">
        <v>17</v>
      </c>
      <c r="G3" s="22" t="s">
        <v>91</v>
      </c>
      <c r="H3" s="22">
        <v>0</v>
      </c>
      <c r="I3" s="22">
        <v>1</v>
      </c>
      <c r="J3" s="21" t="s">
        <v>174</v>
      </c>
      <c r="K3" s="21"/>
      <c r="L3" s="21"/>
      <c r="M3" s="21"/>
      <c r="N3" s="21" t="s">
        <v>175</v>
      </c>
      <c r="O3" s="21"/>
      <c r="P3" s="21"/>
      <c r="Q3" s="21"/>
    </row>
    <row r="4" spans="1:17" x14ac:dyDescent="0.25">
      <c r="A4" s="22">
        <v>3</v>
      </c>
      <c r="B4" s="22" t="s">
        <v>12</v>
      </c>
      <c r="C4" s="22" t="s">
        <v>24</v>
      </c>
      <c r="D4" s="22" t="s">
        <v>25</v>
      </c>
      <c r="E4" s="22" t="s">
        <v>14</v>
      </c>
      <c r="F4" s="22" t="s">
        <v>32</v>
      </c>
      <c r="G4" s="22" t="s">
        <v>91</v>
      </c>
      <c r="H4" s="22">
        <v>0</v>
      </c>
      <c r="I4" s="22">
        <v>1</v>
      </c>
      <c r="J4" s="21" t="s">
        <v>92</v>
      </c>
      <c r="K4" s="21"/>
      <c r="L4" s="21"/>
      <c r="M4" s="21"/>
      <c r="N4" s="21" t="s">
        <v>93</v>
      </c>
      <c r="O4" s="21"/>
      <c r="P4" s="21"/>
      <c r="Q4" s="21"/>
    </row>
    <row r="5" spans="1:17" x14ac:dyDescent="0.25">
      <c r="A5" s="22">
        <v>4</v>
      </c>
      <c r="B5" s="22" t="s">
        <v>12</v>
      </c>
      <c r="C5" s="22" t="s">
        <v>28</v>
      </c>
      <c r="D5" s="22" t="s">
        <v>29</v>
      </c>
      <c r="E5" s="22" t="s">
        <v>22</v>
      </c>
      <c r="F5" s="22" t="s">
        <v>32</v>
      </c>
      <c r="G5" s="22" t="s">
        <v>91</v>
      </c>
      <c r="H5" s="22">
        <v>0</v>
      </c>
      <c r="I5" s="22">
        <v>1</v>
      </c>
      <c r="J5" s="21" t="s">
        <v>92</v>
      </c>
      <c r="K5" s="21"/>
      <c r="L5" s="21"/>
      <c r="M5" s="21"/>
      <c r="N5" s="21" t="s">
        <v>93</v>
      </c>
      <c r="O5" s="21"/>
      <c r="P5" s="21"/>
      <c r="Q5" s="21"/>
    </row>
    <row r="6" spans="1:17" x14ac:dyDescent="0.25">
      <c r="A6" s="22">
        <v>5</v>
      </c>
      <c r="B6" s="22" t="s">
        <v>12</v>
      </c>
      <c r="C6" s="22" t="s">
        <v>30</v>
      </c>
      <c r="D6" s="22" t="s">
        <v>31</v>
      </c>
      <c r="E6" s="22" t="s">
        <v>14</v>
      </c>
      <c r="F6" s="22" t="s">
        <v>51</v>
      </c>
      <c r="G6" s="22" t="s">
        <v>91</v>
      </c>
      <c r="H6" s="22">
        <v>0</v>
      </c>
      <c r="I6" s="22">
        <v>1</v>
      </c>
      <c r="J6" s="21" t="s">
        <v>94</v>
      </c>
      <c r="K6" s="21"/>
      <c r="L6" s="21"/>
      <c r="M6" s="21"/>
      <c r="N6" s="21" t="s">
        <v>95</v>
      </c>
      <c r="O6" s="21"/>
      <c r="P6" s="21"/>
      <c r="Q6" s="21"/>
    </row>
    <row r="7" spans="1:17" x14ac:dyDescent="0.25">
      <c r="A7" s="22">
        <v>6</v>
      </c>
      <c r="B7" s="22" t="s">
        <v>19</v>
      </c>
      <c r="C7" s="22" t="s">
        <v>30</v>
      </c>
      <c r="D7" s="22" t="s">
        <v>34</v>
      </c>
      <c r="E7" s="22" t="s">
        <v>14</v>
      </c>
      <c r="F7" s="22" t="s">
        <v>26</v>
      </c>
      <c r="G7" s="22" t="s">
        <v>191</v>
      </c>
      <c r="H7" s="22">
        <v>0</v>
      </c>
      <c r="I7" s="22">
        <v>1</v>
      </c>
      <c r="J7" s="21" t="s">
        <v>86</v>
      </c>
      <c r="K7" s="21" t="s">
        <v>88</v>
      </c>
      <c r="L7" s="21" t="s">
        <v>88</v>
      </c>
      <c r="M7" s="21" t="s">
        <v>88</v>
      </c>
      <c r="N7" s="21" t="s">
        <v>89</v>
      </c>
      <c r="O7" s="21" t="s">
        <v>88</v>
      </c>
      <c r="P7" s="21" t="s">
        <v>88</v>
      </c>
      <c r="Q7" s="21" t="s">
        <v>88</v>
      </c>
    </row>
    <row r="8" spans="1:17" x14ac:dyDescent="0.25">
      <c r="A8" s="22">
        <v>7</v>
      </c>
      <c r="B8" s="22" t="s">
        <v>12</v>
      </c>
      <c r="C8" s="22" t="s">
        <v>37</v>
      </c>
      <c r="D8" s="22" t="s">
        <v>38</v>
      </c>
      <c r="E8" s="22" t="s">
        <v>22</v>
      </c>
      <c r="F8" s="22" t="s">
        <v>51</v>
      </c>
      <c r="G8" s="22" t="s">
        <v>91</v>
      </c>
      <c r="H8" s="22">
        <v>0</v>
      </c>
      <c r="I8" s="22">
        <v>1</v>
      </c>
      <c r="J8" s="21" t="s">
        <v>94</v>
      </c>
      <c r="K8" s="21"/>
      <c r="L8" s="21"/>
      <c r="M8" s="21"/>
      <c r="N8" s="21" t="s">
        <v>95</v>
      </c>
      <c r="O8" s="21"/>
      <c r="P8" s="21"/>
      <c r="Q8" s="21"/>
    </row>
    <row r="9" spans="1:17" x14ac:dyDescent="0.25">
      <c r="A9" s="22">
        <v>8</v>
      </c>
      <c r="B9" s="22" t="s">
        <v>19</v>
      </c>
      <c r="C9" s="22" t="s">
        <v>37</v>
      </c>
      <c r="D9" s="22" t="s">
        <v>39</v>
      </c>
      <c r="E9" s="22" t="s">
        <v>189</v>
      </c>
      <c r="F9" s="22" t="s">
        <v>17</v>
      </c>
      <c r="G9" s="22" t="s">
        <v>144</v>
      </c>
      <c r="H9" s="22">
        <v>0</v>
      </c>
      <c r="I9" s="22">
        <v>1</v>
      </c>
      <c r="J9" s="21" t="s">
        <v>88</v>
      </c>
      <c r="K9" s="21" t="s">
        <v>87</v>
      </c>
      <c r="L9" s="21" t="s">
        <v>88</v>
      </c>
      <c r="M9" s="21" t="s">
        <v>88</v>
      </c>
      <c r="N9" s="21" t="s">
        <v>88</v>
      </c>
      <c r="O9" s="21" t="s">
        <v>90</v>
      </c>
      <c r="P9" s="21" t="s">
        <v>88</v>
      </c>
      <c r="Q9" s="21" t="s">
        <v>88</v>
      </c>
    </row>
    <row r="10" spans="1:17" x14ac:dyDescent="0.25">
      <c r="A10" s="22">
        <v>9</v>
      </c>
      <c r="B10" s="22" t="s">
        <v>12</v>
      </c>
      <c r="C10" s="22" t="s">
        <v>41</v>
      </c>
      <c r="D10" s="22" t="s">
        <v>42</v>
      </c>
      <c r="E10" s="22" t="s">
        <v>14</v>
      </c>
      <c r="F10" s="22" t="s">
        <v>63</v>
      </c>
      <c r="G10" s="22" t="s">
        <v>91</v>
      </c>
      <c r="H10" s="22">
        <v>0</v>
      </c>
      <c r="I10" s="22">
        <v>1</v>
      </c>
      <c r="J10" s="21" t="s">
        <v>96</v>
      </c>
      <c r="K10" s="21"/>
      <c r="L10" s="21"/>
      <c r="M10" s="21"/>
      <c r="N10" s="21" t="s">
        <v>97</v>
      </c>
      <c r="O10" s="21"/>
      <c r="P10" s="21"/>
      <c r="Q10" s="21"/>
    </row>
    <row r="11" spans="1:17" x14ac:dyDescent="0.25">
      <c r="A11" s="22">
        <v>10</v>
      </c>
      <c r="B11" s="22" t="s">
        <v>12</v>
      </c>
      <c r="C11" s="22" t="s">
        <v>45</v>
      </c>
      <c r="D11" s="22" t="s">
        <v>46</v>
      </c>
      <c r="E11" s="22" t="s">
        <v>22</v>
      </c>
      <c r="F11" s="22" t="s">
        <v>63</v>
      </c>
      <c r="G11" s="22" t="s">
        <v>91</v>
      </c>
      <c r="H11" s="22">
        <v>0</v>
      </c>
      <c r="I11" s="22">
        <v>1</v>
      </c>
      <c r="J11" s="21" t="s">
        <v>96</v>
      </c>
      <c r="K11" s="21"/>
      <c r="L11" s="21"/>
      <c r="M11" s="21"/>
      <c r="N11" s="21" t="s">
        <v>97</v>
      </c>
      <c r="O11" s="21"/>
      <c r="P11" s="21"/>
      <c r="Q11" s="21"/>
    </row>
    <row r="12" spans="1:17" x14ac:dyDescent="0.25">
      <c r="A12" s="22">
        <v>11</v>
      </c>
      <c r="B12" s="22" t="s">
        <v>19</v>
      </c>
      <c r="C12" s="22" t="s">
        <v>45</v>
      </c>
      <c r="D12" s="22" t="s">
        <v>47</v>
      </c>
      <c r="E12" s="22" t="s">
        <v>192</v>
      </c>
      <c r="F12" s="22" t="s">
        <v>26</v>
      </c>
      <c r="G12" s="22" t="s">
        <v>143</v>
      </c>
      <c r="H12" s="22">
        <v>1</v>
      </c>
      <c r="I12" s="22">
        <v>1</v>
      </c>
      <c r="J12" s="21" t="s">
        <v>86</v>
      </c>
      <c r="K12" s="21" t="s">
        <v>87</v>
      </c>
      <c r="L12" s="21" t="s">
        <v>88</v>
      </c>
      <c r="M12" s="21" t="s">
        <v>88</v>
      </c>
      <c r="N12" s="21" t="s">
        <v>88</v>
      </c>
      <c r="O12" s="21" t="s">
        <v>88</v>
      </c>
      <c r="P12" s="21" t="s">
        <v>88</v>
      </c>
      <c r="Q12" s="21" t="s">
        <v>88</v>
      </c>
    </row>
    <row r="13" spans="1:17" x14ac:dyDescent="0.25">
      <c r="A13" s="22">
        <v>12</v>
      </c>
      <c r="B13" s="22" t="s">
        <v>12</v>
      </c>
      <c r="C13" s="22" t="s">
        <v>49</v>
      </c>
      <c r="D13" s="22" t="s">
        <v>50</v>
      </c>
      <c r="E13" s="22" t="s">
        <v>14</v>
      </c>
      <c r="F13" s="22" t="s">
        <v>132</v>
      </c>
      <c r="G13" s="22" t="s">
        <v>91</v>
      </c>
      <c r="H13" s="22">
        <v>0</v>
      </c>
      <c r="I13" s="22">
        <v>1</v>
      </c>
      <c r="J13" s="21" t="s">
        <v>98</v>
      </c>
      <c r="K13" s="21"/>
      <c r="L13" s="21"/>
      <c r="M13" s="21"/>
      <c r="N13" s="21" t="s">
        <v>99</v>
      </c>
      <c r="O13" s="21"/>
      <c r="P13" s="21"/>
      <c r="Q13" s="21"/>
    </row>
    <row r="14" spans="1:17" x14ac:dyDescent="0.25">
      <c r="A14" s="22">
        <v>13</v>
      </c>
      <c r="B14" s="22" t="s">
        <v>12</v>
      </c>
      <c r="C14" s="22" t="s">
        <v>53</v>
      </c>
      <c r="D14" s="22" t="s">
        <v>54</v>
      </c>
      <c r="E14" s="22" t="s">
        <v>22</v>
      </c>
      <c r="F14" s="22" t="s">
        <v>132</v>
      </c>
      <c r="G14" s="22" t="s">
        <v>91</v>
      </c>
      <c r="H14" s="22">
        <v>0</v>
      </c>
      <c r="I14" s="22">
        <v>1</v>
      </c>
      <c r="J14" s="21" t="s">
        <v>98</v>
      </c>
      <c r="K14" s="21"/>
      <c r="L14" s="21"/>
      <c r="M14" s="21"/>
      <c r="N14" s="21" t="s">
        <v>99</v>
      </c>
      <c r="O14" s="21"/>
      <c r="P14" s="21"/>
      <c r="Q14" s="21"/>
    </row>
    <row r="15" spans="1:17" x14ac:dyDescent="0.25">
      <c r="A15" s="22">
        <v>14</v>
      </c>
      <c r="B15" s="22" t="s">
        <v>12</v>
      </c>
      <c r="C15" s="22" t="s">
        <v>55</v>
      </c>
      <c r="D15" s="22" t="s">
        <v>56</v>
      </c>
      <c r="E15" s="22" t="s">
        <v>14</v>
      </c>
      <c r="F15" s="22" t="s">
        <v>134</v>
      </c>
      <c r="G15" s="22" t="s">
        <v>91</v>
      </c>
      <c r="H15" s="22">
        <v>0</v>
      </c>
      <c r="I15" s="22">
        <v>1</v>
      </c>
      <c r="J15" s="21" t="s">
        <v>100</v>
      </c>
      <c r="K15" s="21"/>
      <c r="L15" s="21"/>
      <c r="M15" s="21"/>
      <c r="N15" s="21" t="s">
        <v>101</v>
      </c>
      <c r="O15" s="21"/>
      <c r="P15" s="21"/>
      <c r="Q15" s="21"/>
    </row>
    <row r="16" spans="1:17" x14ac:dyDescent="0.25">
      <c r="A16" s="22">
        <v>15</v>
      </c>
      <c r="B16" s="22" t="s">
        <v>12</v>
      </c>
      <c r="C16" s="22" t="s">
        <v>59</v>
      </c>
      <c r="D16" s="22" t="s">
        <v>60</v>
      </c>
      <c r="E16" s="22" t="s">
        <v>22</v>
      </c>
      <c r="F16" s="22" t="s">
        <v>134</v>
      </c>
      <c r="G16" s="22" t="s">
        <v>91</v>
      </c>
      <c r="H16" s="22">
        <v>0</v>
      </c>
      <c r="I16" s="22">
        <v>1</v>
      </c>
      <c r="J16" s="21" t="s">
        <v>100</v>
      </c>
      <c r="K16" s="21"/>
      <c r="L16" s="21"/>
      <c r="M16" s="21"/>
      <c r="N16" s="21" t="s">
        <v>101</v>
      </c>
      <c r="O16" s="21"/>
      <c r="P16" s="21"/>
      <c r="Q16" s="21"/>
    </row>
    <row r="17" spans="1:17" x14ac:dyDescent="0.25">
      <c r="A17" s="22">
        <v>16</v>
      </c>
      <c r="B17" s="22" t="s">
        <v>12</v>
      </c>
      <c r="C17" s="22" t="s">
        <v>61</v>
      </c>
      <c r="D17" s="22" t="s">
        <v>62</v>
      </c>
      <c r="E17" s="22" t="s">
        <v>14</v>
      </c>
      <c r="F17" s="22" t="s">
        <v>136</v>
      </c>
      <c r="G17" s="22" t="s">
        <v>91</v>
      </c>
      <c r="H17" s="22">
        <v>0</v>
      </c>
      <c r="I17" s="22">
        <v>1</v>
      </c>
      <c r="J17" s="21" t="s">
        <v>102</v>
      </c>
      <c r="K17" s="21"/>
      <c r="L17" s="21"/>
      <c r="M17" s="21"/>
      <c r="N17" s="21" t="s">
        <v>103</v>
      </c>
      <c r="O17" s="21"/>
      <c r="P17" s="21"/>
      <c r="Q17" s="21"/>
    </row>
    <row r="18" spans="1:17" x14ac:dyDescent="0.25">
      <c r="A18" s="22">
        <v>17</v>
      </c>
      <c r="B18" s="22" t="s">
        <v>12</v>
      </c>
      <c r="C18" s="22" t="s">
        <v>30</v>
      </c>
      <c r="D18" s="22" t="s">
        <v>31</v>
      </c>
      <c r="E18" s="22" t="s">
        <v>22</v>
      </c>
      <c r="F18" s="22" t="s">
        <v>51</v>
      </c>
      <c r="G18" s="22" t="s">
        <v>91</v>
      </c>
      <c r="H18" s="22">
        <v>0</v>
      </c>
      <c r="I18" s="22">
        <v>1</v>
      </c>
      <c r="J18" s="21" t="s">
        <v>94</v>
      </c>
      <c r="K18" s="21"/>
      <c r="L18" s="21"/>
      <c r="M18" s="21"/>
      <c r="N18" s="21" t="s">
        <v>95</v>
      </c>
      <c r="O18" s="21"/>
      <c r="P18" s="21"/>
      <c r="Q18" s="21"/>
    </row>
    <row r="19" spans="1:17" x14ac:dyDescent="0.25">
      <c r="A19" s="22">
        <v>18</v>
      </c>
      <c r="B19" s="22" t="s">
        <v>19</v>
      </c>
      <c r="C19" s="22" t="s">
        <v>30</v>
      </c>
      <c r="D19" s="22" t="s">
        <v>65</v>
      </c>
      <c r="E19" s="22" t="s">
        <v>189</v>
      </c>
      <c r="F19" s="22" t="s">
        <v>17</v>
      </c>
      <c r="G19" s="22" t="s">
        <v>191</v>
      </c>
      <c r="H19" s="22">
        <v>0</v>
      </c>
      <c r="I19" s="22">
        <v>1</v>
      </c>
      <c r="J19" s="21" t="s">
        <v>86</v>
      </c>
      <c r="K19" s="21" t="s">
        <v>88</v>
      </c>
      <c r="L19" s="21" t="s">
        <v>88</v>
      </c>
      <c r="M19" s="21" t="s">
        <v>88</v>
      </c>
      <c r="N19" s="21" t="s">
        <v>89</v>
      </c>
      <c r="O19" s="21" t="s">
        <v>88</v>
      </c>
      <c r="P19" s="21" t="s">
        <v>88</v>
      </c>
      <c r="Q19" s="21" t="s">
        <v>88</v>
      </c>
    </row>
    <row r="20" spans="1:17" x14ac:dyDescent="0.25">
      <c r="A20" s="22">
        <v>19</v>
      </c>
      <c r="B20" s="22" t="s">
        <v>12</v>
      </c>
      <c r="C20" s="22" t="s">
        <v>37</v>
      </c>
      <c r="D20" s="22" t="s">
        <v>38</v>
      </c>
      <c r="E20" s="22" t="s">
        <v>22</v>
      </c>
      <c r="F20" s="22" t="s">
        <v>51</v>
      </c>
      <c r="G20" s="22" t="s">
        <v>91</v>
      </c>
      <c r="H20" s="22">
        <v>0</v>
      </c>
      <c r="I20" s="22">
        <v>1</v>
      </c>
      <c r="J20" s="21" t="s">
        <v>94</v>
      </c>
      <c r="K20" s="21"/>
      <c r="L20" s="21"/>
      <c r="M20" s="21"/>
      <c r="N20" s="21" t="s">
        <v>95</v>
      </c>
      <c r="O20" s="21"/>
      <c r="P20" s="21"/>
      <c r="Q20" s="21"/>
    </row>
    <row r="21" spans="1:17" x14ac:dyDescent="0.25">
      <c r="A21" s="22">
        <v>20</v>
      </c>
      <c r="B21" s="22" t="s">
        <v>19</v>
      </c>
      <c r="C21" s="22" t="s">
        <v>37</v>
      </c>
      <c r="D21" s="22" t="s">
        <v>68</v>
      </c>
      <c r="E21" s="22" t="s">
        <v>192</v>
      </c>
      <c r="F21" s="22" t="s">
        <v>26</v>
      </c>
      <c r="G21" s="22" t="s">
        <v>144</v>
      </c>
      <c r="H21" s="22">
        <v>0</v>
      </c>
      <c r="I21" s="22">
        <v>1</v>
      </c>
      <c r="J21" s="21" t="s">
        <v>88</v>
      </c>
      <c r="K21" s="21" t="s">
        <v>87</v>
      </c>
      <c r="L21" s="21" t="s">
        <v>88</v>
      </c>
      <c r="M21" s="21" t="s">
        <v>88</v>
      </c>
      <c r="N21" s="21" t="s">
        <v>88</v>
      </c>
      <c r="O21" s="21" t="s">
        <v>90</v>
      </c>
      <c r="P21" s="21" t="s">
        <v>88</v>
      </c>
      <c r="Q21" s="21" t="s">
        <v>88</v>
      </c>
    </row>
    <row r="22" spans="1:17" x14ac:dyDescent="0.25">
      <c r="A22" s="22">
        <v>21</v>
      </c>
      <c r="B22" s="22" t="s">
        <v>12</v>
      </c>
      <c r="C22" s="22" t="s">
        <v>41</v>
      </c>
      <c r="D22" s="22" t="s">
        <v>42</v>
      </c>
      <c r="E22" s="22" t="s">
        <v>22</v>
      </c>
      <c r="F22" s="22" t="s">
        <v>63</v>
      </c>
      <c r="G22" s="22" t="s">
        <v>91</v>
      </c>
      <c r="H22" s="22">
        <v>0</v>
      </c>
      <c r="I22" s="22">
        <v>1</v>
      </c>
      <c r="J22" s="21" t="s">
        <v>96</v>
      </c>
      <c r="K22" s="21"/>
      <c r="L22" s="21"/>
      <c r="M22" s="21"/>
      <c r="N22" s="21" t="s">
        <v>97</v>
      </c>
      <c r="O22" s="21"/>
      <c r="P22" s="21"/>
      <c r="Q22" s="21"/>
    </row>
    <row r="23" spans="1:17" x14ac:dyDescent="0.25">
      <c r="A23" s="22">
        <v>22</v>
      </c>
      <c r="B23" s="22" t="s">
        <v>12</v>
      </c>
      <c r="C23" s="22" t="s">
        <v>45</v>
      </c>
      <c r="D23" s="22" t="s">
        <v>46</v>
      </c>
      <c r="E23" s="22" t="s">
        <v>22</v>
      </c>
      <c r="F23" s="22" t="s">
        <v>63</v>
      </c>
      <c r="G23" s="22" t="s">
        <v>91</v>
      </c>
      <c r="H23" s="22">
        <v>0</v>
      </c>
      <c r="I23" s="22">
        <v>1</v>
      </c>
      <c r="J23" s="21" t="s">
        <v>96</v>
      </c>
      <c r="K23" s="21"/>
      <c r="L23" s="21"/>
      <c r="M23" s="21"/>
      <c r="N23" s="21" t="s">
        <v>97</v>
      </c>
      <c r="O23" s="21"/>
      <c r="P23" s="21"/>
      <c r="Q23" s="21"/>
    </row>
    <row r="24" spans="1:17" x14ac:dyDescent="0.25">
      <c r="A24" s="22">
        <v>23</v>
      </c>
      <c r="B24" s="22" t="s">
        <v>19</v>
      </c>
      <c r="C24" s="22" t="s">
        <v>45</v>
      </c>
      <c r="D24" s="22" t="s">
        <v>70</v>
      </c>
      <c r="E24" s="22" t="s">
        <v>189</v>
      </c>
      <c r="F24" s="22" t="s">
        <v>17</v>
      </c>
      <c r="G24" s="22" t="s">
        <v>143</v>
      </c>
      <c r="H24" s="22">
        <v>1</v>
      </c>
      <c r="I24" s="22">
        <v>1</v>
      </c>
      <c r="J24" s="21" t="s">
        <v>86</v>
      </c>
      <c r="K24" s="21" t="s">
        <v>87</v>
      </c>
      <c r="L24" s="21" t="s">
        <v>88</v>
      </c>
      <c r="M24" s="21" t="s">
        <v>88</v>
      </c>
      <c r="N24" s="21" t="s">
        <v>89</v>
      </c>
      <c r="O24" s="21" t="s">
        <v>90</v>
      </c>
      <c r="P24" s="21" t="s">
        <v>88</v>
      </c>
      <c r="Q24" s="21" t="s">
        <v>88</v>
      </c>
    </row>
    <row r="25" spans="1:17" x14ac:dyDescent="0.25">
      <c r="A25" s="22">
        <v>24</v>
      </c>
      <c r="B25" s="22" t="s">
        <v>12</v>
      </c>
      <c r="C25" s="22" t="s">
        <v>49</v>
      </c>
      <c r="D25" s="22" t="s">
        <v>50</v>
      </c>
      <c r="E25" s="22" t="s">
        <v>22</v>
      </c>
      <c r="F25" s="22" t="s">
        <v>132</v>
      </c>
      <c r="G25" s="22" t="s">
        <v>91</v>
      </c>
      <c r="H25" s="22">
        <v>0</v>
      </c>
      <c r="I25" s="22">
        <v>1</v>
      </c>
      <c r="J25" s="21" t="s">
        <v>98</v>
      </c>
      <c r="K25" s="21"/>
      <c r="L25" s="21"/>
      <c r="M25" s="21"/>
      <c r="N25" s="21" t="s">
        <v>99</v>
      </c>
      <c r="O25" s="21"/>
      <c r="P25" s="21"/>
      <c r="Q25" s="21"/>
    </row>
    <row r="26" spans="1:17" x14ac:dyDescent="0.25">
      <c r="A26" s="22">
        <v>25</v>
      </c>
      <c r="B26" s="22" t="s">
        <v>12</v>
      </c>
      <c r="C26" s="22" t="s">
        <v>53</v>
      </c>
      <c r="D26" s="22" t="s">
        <v>54</v>
      </c>
      <c r="E26" s="22" t="s">
        <v>22</v>
      </c>
      <c r="F26" s="22" t="s">
        <v>132</v>
      </c>
      <c r="G26" s="22" t="s">
        <v>91</v>
      </c>
      <c r="H26" s="22">
        <v>0</v>
      </c>
      <c r="I26" s="22">
        <v>1</v>
      </c>
      <c r="J26" s="21" t="s">
        <v>98</v>
      </c>
      <c r="K26" s="21"/>
      <c r="L26" s="21"/>
      <c r="M26" s="21"/>
      <c r="N26" s="21" t="s">
        <v>99</v>
      </c>
      <c r="O26" s="21"/>
      <c r="P26" s="21"/>
      <c r="Q26" s="21"/>
    </row>
    <row r="27" spans="1:17" x14ac:dyDescent="0.25">
      <c r="A27" s="22">
        <v>26</v>
      </c>
      <c r="B27" s="22" t="s">
        <v>12</v>
      </c>
      <c r="C27" s="22" t="s">
        <v>55</v>
      </c>
      <c r="D27" s="22" t="s">
        <v>56</v>
      </c>
      <c r="E27" s="22" t="s">
        <v>22</v>
      </c>
      <c r="F27" s="22" t="s">
        <v>134</v>
      </c>
      <c r="G27" s="22" t="s">
        <v>91</v>
      </c>
      <c r="H27" s="22">
        <v>0</v>
      </c>
      <c r="I27" s="22">
        <v>1</v>
      </c>
      <c r="J27" s="21" t="s">
        <v>100</v>
      </c>
      <c r="K27" s="21"/>
      <c r="L27" s="21"/>
      <c r="M27" s="21"/>
      <c r="N27" s="21" t="s">
        <v>101</v>
      </c>
      <c r="O27" s="21"/>
      <c r="P27" s="21"/>
      <c r="Q27" s="21"/>
    </row>
    <row r="28" spans="1:17" x14ac:dyDescent="0.25">
      <c r="A28" s="22">
        <v>27</v>
      </c>
      <c r="B28" s="22" t="s">
        <v>12</v>
      </c>
      <c r="C28" s="22" t="s">
        <v>59</v>
      </c>
      <c r="D28" s="22" t="s">
        <v>60</v>
      </c>
      <c r="E28" s="22" t="s">
        <v>22</v>
      </c>
      <c r="F28" s="22" t="s">
        <v>134</v>
      </c>
      <c r="G28" s="22" t="s">
        <v>91</v>
      </c>
      <c r="H28" s="22">
        <v>0</v>
      </c>
      <c r="I28" s="22">
        <v>1</v>
      </c>
      <c r="J28" s="21" t="s">
        <v>100</v>
      </c>
      <c r="K28" s="21"/>
      <c r="L28" s="21"/>
      <c r="M28" s="21"/>
      <c r="N28" s="21" t="s">
        <v>101</v>
      </c>
      <c r="O28" s="21"/>
      <c r="P28" s="21"/>
      <c r="Q28" s="21"/>
    </row>
    <row r="29" spans="1:17" x14ac:dyDescent="0.25">
      <c r="A29" s="22">
        <v>28</v>
      </c>
      <c r="B29" s="22" t="s">
        <v>12</v>
      </c>
      <c r="C29" s="22" t="s">
        <v>61</v>
      </c>
      <c r="D29" s="22" t="s">
        <v>62</v>
      </c>
      <c r="E29" s="22" t="s">
        <v>22</v>
      </c>
      <c r="F29" s="22" t="s">
        <v>136</v>
      </c>
      <c r="G29" s="22" t="s">
        <v>91</v>
      </c>
      <c r="H29" s="22">
        <v>0</v>
      </c>
      <c r="I29" s="22">
        <v>1</v>
      </c>
      <c r="J29" s="21" t="s">
        <v>102</v>
      </c>
      <c r="K29" s="21"/>
      <c r="L29" s="21"/>
      <c r="M29" s="21"/>
      <c r="N29" s="21" t="s">
        <v>103</v>
      </c>
      <c r="O29" s="21"/>
      <c r="P29" s="21"/>
      <c r="Q29" s="21"/>
    </row>
    <row r="30" spans="1:17" x14ac:dyDescent="0.25">
      <c r="A30" s="22">
        <v>29</v>
      </c>
      <c r="B30" s="22" t="s">
        <v>12</v>
      </c>
      <c r="C30" s="22" t="s">
        <v>72</v>
      </c>
      <c r="D30" s="22" t="s">
        <v>73</v>
      </c>
      <c r="E30" s="22" t="s">
        <v>22</v>
      </c>
      <c r="F30" s="22" t="s">
        <v>136</v>
      </c>
      <c r="G30" s="22" t="s">
        <v>91</v>
      </c>
      <c r="H30" s="22">
        <v>0</v>
      </c>
      <c r="I30" s="22">
        <v>1</v>
      </c>
      <c r="J30" s="21" t="s">
        <v>102</v>
      </c>
      <c r="K30" s="21"/>
      <c r="L30" s="21"/>
      <c r="M30" s="21"/>
      <c r="N30" s="21" t="s">
        <v>103</v>
      </c>
      <c r="O30" s="21"/>
      <c r="P30" s="21"/>
      <c r="Q30" s="21"/>
    </row>
  </sheetData>
  <mergeCells count="46">
    <mergeCell ref="J2:M2"/>
    <mergeCell ref="N2:Q2"/>
    <mergeCell ref="J3:M3"/>
    <mergeCell ref="N3:Q3"/>
    <mergeCell ref="J4:M4"/>
    <mergeCell ref="N4:Q4"/>
    <mergeCell ref="J5:M5"/>
    <mergeCell ref="N5:Q5"/>
    <mergeCell ref="J6:M6"/>
    <mergeCell ref="N6:Q6"/>
    <mergeCell ref="J8:M8"/>
    <mergeCell ref="N8:Q8"/>
    <mergeCell ref="J10:M10"/>
    <mergeCell ref="N10:Q10"/>
    <mergeCell ref="J11:M11"/>
    <mergeCell ref="N11:Q11"/>
    <mergeCell ref="J13:M13"/>
    <mergeCell ref="N13:Q13"/>
    <mergeCell ref="J14:M14"/>
    <mergeCell ref="N14:Q14"/>
    <mergeCell ref="J15:M15"/>
    <mergeCell ref="N15:Q15"/>
    <mergeCell ref="J16:M16"/>
    <mergeCell ref="N16:Q16"/>
    <mergeCell ref="J17:M17"/>
    <mergeCell ref="N17:Q17"/>
    <mergeCell ref="J18:M18"/>
    <mergeCell ref="N18:Q18"/>
    <mergeCell ref="J20:M20"/>
    <mergeCell ref="N20:Q20"/>
    <mergeCell ref="J22:M22"/>
    <mergeCell ref="N22:Q22"/>
    <mergeCell ref="J23:M23"/>
    <mergeCell ref="N23:Q23"/>
    <mergeCell ref="J25:M25"/>
    <mergeCell ref="N25:Q25"/>
    <mergeCell ref="J26:M26"/>
    <mergeCell ref="N26:Q26"/>
    <mergeCell ref="J27:M27"/>
    <mergeCell ref="N27:Q27"/>
    <mergeCell ref="J28:M28"/>
    <mergeCell ref="N28:Q28"/>
    <mergeCell ref="J29:M29"/>
    <mergeCell ref="N29:Q29"/>
    <mergeCell ref="J30:M30"/>
    <mergeCell ref="N30:Q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22" customWidth="1"/>
    <col min="4" max="4" width="11" customWidth="1"/>
    <col min="5" max="5" width="18" customWidth="1"/>
    <col min="6" max="6" width="8" customWidth="1"/>
    <col min="8" max="9" width="4" customWidth="1"/>
    <col min="10" max="17" width="4.3" customWidth="1"/>
  </cols>
  <sheetData>
    <row r="1" spans="1:17" x14ac:dyDescent="0.25">
      <c r="A1" s="24" t="s">
        <v>183</v>
      </c>
      <c r="B1" s="24" t="s">
        <v>184</v>
      </c>
      <c r="C1" s="24" t="s">
        <v>185</v>
      </c>
      <c r="D1" s="24" t="s">
        <v>186</v>
      </c>
      <c r="E1" s="24" t="s">
        <v>187</v>
      </c>
      <c r="F1" s="24" t="s">
        <v>188</v>
      </c>
      <c r="G1" s="24" t="s">
        <v>3</v>
      </c>
      <c r="H1" s="24" t="s">
        <v>75</v>
      </c>
      <c r="I1" s="24" t="s">
        <v>76</v>
      </c>
      <c r="J1" s="25" t="s">
        <v>77</v>
      </c>
      <c r="K1" s="25" t="s">
        <v>78</v>
      </c>
      <c r="L1" s="25" t="s">
        <v>79</v>
      </c>
      <c r="M1" s="25" t="s">
        <v>80</v>
      </c>
      <c r="N1" s="25" t="s">
        <v>81</v>
      </c>
      <c r="O1" s="25" t="s">
        <v>82</v>
      </c>
      <c r="P1" s="25" t="s">
        <v>83</v>
      </c>
      <c r="Q1" s="25" t="s">
        <v>84</v>
      </c>
    </row>
    <row r="2" spans="1:17" x14ac:dyDescent="0.25">
      <c r="A2" s="22">
        <v>1</v>
      </c>
      <c r="B2" s="22" t="s">
        <v>12</v>
      </c>
      <c r="C2" s="22" t="s">
        <v>11</v>
      </c>
      <c r="D2" s="22" t="s">
        <v>13</v>
      </c>
      <c r="E2" s="22" t="s">
        <v>14</v>
      </c>
      <c r="F2" s="22" t="s">
        <v>17</v>
      </c>
      <c r="G2" s="22" t="s">
        <v>91</v>
      </c>
      <c r="H2" s="22">
        <v>0</v>
      </c>
      <c r="I2" s="22">
        <v>1</v>
      </c>
      <c r="J2" s="21" t="s">
        <v>174</v>
      </c>
      <c r="K2" s="21"/>
      <c r="L2" s="21"/>
      <c r="M2" s="21"/>
      <c r="N2" s="21" t="s">
        <v>175</v>
      </c>
      <c r="O2" s="21"/>
      <c r="P2" s="21"/>
      <c r="Q2" s="21"/>
    </row>
    <row r="3" spans="1:17" x14ac:dyDescent="0.25">
      <c r="A3" s="22">
        <v>2</v>
      </c>
      <c r="B3" s="22" t="s">
        <v>12</v>
      </c>
      <c r="C3" s="22" t="s">
        <v>20</v>
      </c>
      <c r="D3" s="22" t="s">
        <v>21</v>
      </c>
      <c r="E3" s="22" t="s">
        <v>22</v>
      </c>
      <c r="F3" s="22" t="s">
        <v>17</v>
      </c>
      <c r="G3" s="22" t="s">
        <v>91</v>
      </c>
      <c r="H3" s="22">
        <v>0</v>
      </c>
      <c r="I3" s="22">
        <v>1</v>
      </c>
      <c r="J3" s="21" t="s">
        <v>174</v>
      </c>
      <c r="K3" s="21"/>
      <c r="L3" s="21"/>
      <c r="M3" s="21"/>
      <c r="N3" s="21" t="s">
        <v>175</v>
      </c>
      <c r="O3" s="21"/>
      <c r="P3" s="21"/>
      <c r="Q3" s="21"/>
    </row>
    <row r="4" spans="1:17" x14ac:dyDescent="0.25">
      <c r="A4" s="22">
        <v>3</v>
      </c>
      <c r="B4" s="22" t="s">
        <v>12</v>
      </c>
      <c r="C4" s="22" t="s">
        <v>24</v>
      </c>
      <c r="D4" s="22" t="s">
        <v>25</v>
      </c>
      <c r="E4" s="22" t="s">
        <v>14</v>
      </c>
      <c r="F4" s="22" t="s">
        <v>51</v>
      </c>
      <c r="G4" s="22" t="s">
        <v>91</v>
      </c>
      <c r="H4" s="22">
        <v>0</v>
      </c>
      <c r="I4" s="22">
        <v>1</v>
      </c>
      <c r="J4" s="21" t="s">
        <v>92</v>
      </c>
      <c r="K4" s="21"/>
      <c r="L4" s="21"/>
      <c r="M4" s="21"/>
      <c r="N4" s="21" t="s">
        <v>93</v>
      </c>
      <c r="O4" s="21"/>
      <c r="P4" s="21"/>
      <c r="Q4" s="21"/>
    </row>
    <row r="5" spans="1:17" x14ac:dyDescent="0.25">
      <c r="A5" s="22">
        <v>4</v>
      </c>
      <c r="B5" s="22" t="s">
        <v>12</v>
      </c>
      <c r="C5" s="22" t="s">
        <v>28</v>
      </c>
      <c r="D5" s="22" t="s">
        <v>29</v>
      </c>
      <c r="E5" s="22" t="s">
        <v>22</v>
      </c>
      <c r="F5" s="22" t="s">
        <v>51</v>
      </c>
      <c r="G5" s="22" t="s">
        <v>91</v>
      </c>
      <c r="H5" s="22">
        <v>0</v>
      </c>
      <c r="I5" s="22">
        <v>1</v>
      </c>
      <c r="J5" s="21" t="s">
        <v>92</v>
      </c>
      <c r="K5" s="21"/>
      <c r="L5" s="21"/>
      <c r="M5" s="21"/>
      <c r="N5" s="21" t="s">
        <v>93</v>
      </c>
      <c r="O5" s="21"/>
      <c r="P5" s="21"/>
      <c r="Q5" s="21"/>
    </row>
    <row r="6" spans="1:17" x14ac:dyDescent="0.25">
      <c r="A6" s="22">
        <v>5</v>
      </c>
      <c r="B6" s="22" t="s">
        <v>12</v>
      </c>
      <c r="C6" s="22" t="s">
        <v>30</v>
      </c>
      <c r="D6" s="22" t="s">
        <v>31</v>
      </c>
      <c r="E6" s="22" t="s">
        <v>14</v>
      </c>
      <c r="F6" s="22" t="s">
        <v>132</v>
      </c>
      <c r="G6" s="22" t="s">
        <v>91</v>
      </c>
      <c r="H6" s="22">
        <v>0</v>
      </c>
      <c r="I6" s="22">
        <v>1</v>
      </c>
      <c r="J6" s="21" t="s">
        <v>94</v>
      </c>
      <c r="K6" s="21"/>
      <c r="L6" s="21"/>
      <c r="M6" s="21"/>
      <c r="N6" s="21" t="s">
        <v>95</v>
      </c>
      <c r="O6" s="21"/>
      <c r="P6" s="21"/>
      <c r="Q6" s="21"/>
    </row>
    <row r="7" spans="1:17" x14ac:dyDescent="0.25">
      <c r="A7" s="22">
        <v>6</v>
      </c>
      <c r="B7" s="22" t="s">
        <v>19</v>
      </c>
      <c r="C7" s="22" t="s">
        <v>30</v>
      </c>
      <c r="D7" s="22" t="s">
        <v>34</v>
      </c>
      <c r="E7" s="22" t="s">
        <v>14</v>
      </c>
      <c r="F7" s="22" t="s">
        <v>26</v>
      </c>
      <c r="G7" s="22" t="s">
        <v>144</v>
      </c>
      <c r="H7" s="22">
        <v>0</v>
      </c>
      <c r="I7" s="22">
        <v>1</v>
      </c>
      <c r="J7" s="21" t="s">
        <v>86</v>
      </c>
      <c r="K7" s="21" t="s">
        <v>88</v>
      </c>
      <c r="L7" s="21" t="s">
        <v>88</v>
      </c>
      <c r="M7" s="21" t="s">
        <v>88</v>
      </c>
      <c r="N7" s="21" t="s">
        <v>89</v>
      </c>
      <c r="O7" s="21" t="s">
        <v>88</v>
      </c>
      <c r="P7" s="21" t="s">
        <v>88</v>
      </c>
      <c r="Q7" s="21" t="s">
        <v>88</v>
      </c>
    </row>
    <row r="8" spans="1:17" x14ac:dyDescent="0.25">
      <c r="A8" s="22">
        <v>7</v>
      </c>
      <c r="B8" s="22" t="s">
        <v>12</v>
      </c>
      <c r="C8" s="22" t="s">
        <v>37</v>
      </c>
      <c r="D8" s="22" t="s">
        <v>38</v>
      </c>
      <c r="E8" s="22" t="s">
        <v>22</v>
      </c>
      <c r="F8" s="22" t="s">
        <v>132</v>
      </c>
      <c r="G8" s="22" t="s">
        <v>91</v>
      </c>
      <c r="H8" s="22">
        <v>0</v>
      </c>
      <c r="I8" s="22">
        <v>1</v>
      </c>
      <c r="J8" s="21" t="s">
        <v>94</v>
      </c>
      <c r="K8" s="21"/>
      <c r="L8" s="21"/>
      <c r="M8" s="21"/>
      <c r="N8" s="21" t="s">
        <v>95</v>
      </c>
      <c r="O8" s="21"/>
      <c r="P8" s="21"/>
      <c r="Q8" s="21"/>
    </row>
    <row r="9" spans="1:17" x14ac:dyDescent="0.25">
      <c r="A9" s="22">
        <v>8</v>
      </c>
      <c r="B9" s="22" t="s">
        <v>19</v>
      </c>
      <c r="C9" s="22" t="s">
        <v>37</v>
      </c>
      <c r="D9" s="22" t="s">
        <v>39</v>
      </c>
      <c r="E9" s="22" t="s">
        <v>14</v>
      </c>
      <c r="F9" s="22" t="s">
        <v>32</v>
      </c>
      <c r="G9" s="22" t="s">
        <v>165</v>
      </c>
      <c r="H9" s="22">
        <v>0</v>
      </c>
      <c r="I9" s="22">
        <v>1</v>
      </c>
      <c r="J9" s="21" t="s">
        <v>88</v>
      </c>
      <c r="K9" s="21" t="s">
        <v>87</v>
      </c>
      <c r="L9" s="21" t="s">
        <v>88</v>
      </c>
      <c r="M9" s="21" t="s">
        <v>88</v>
      </c>
      <c r="N9" s="21" t="s">
        <v>88</v>
      </c>
      <c r="O9" s="21" t="s">
        <v>90</v>
      </c>
      <c r="P9" s="21" t="s">
        <v>88</v>
      </c>
      <c r="Q9" s="21" t="s">
        <v>88</v>
      </c>
    </row>
    <row r="10" spans="1:17" x14ac:dyDescent="0.25">
      <c r="A10" s="22">
        <v>9</v>
      </c>
      <c r="B10" s="22" t="s">
        <v>12</v>
      </c>
      <c r="C10" s="22" t="s">
        <v>41</v>
      </c>
      <c r="D10" s="22" t="s">
        <v>42</v>
      </c>
      <c r="E10" s="22" t="s">
        <v>14</v>
      </c>
      <c r="F10" s="22" t="s">
        <v>136</v>
      </c>
      <c r="G10" s="22" t="s">
        <v>91</v>
      </c>
      <c r="H10" s="22">
        <v>0</v>
      </c>
      <c r="I10" s="22">
        <v>1</v>
      </c>
      <c r="J10" s="21" t="s">
        <v>96</v>
      </c>
      <c r="K10" s="21"/>
      <c r="L10" s="21"/>
      <c r="M10" s="21"/>
      <c r="N10" s="21" t="s">
        <v>97</v>
      </c>
      <c r="O10" s="21"/>
      <c r="P10" s="21"/>
      <c r="Q10" s="21"/>
    </row>
    <row r="11" spans="1:17" x14ac:dyDescent="0.25">
      <c r="A11" s="22">
        <v>10</v>
      </c>
      <c r="B11" s="22" t="s">
        <v>12</v>
      </c>
      <c r="C11" s="22" t="s">
        <v>45</v>
      </c>
      <c r="D11" s="22" t="s">
        <v>46</v>
      </c>
      <c r="E11" s="22" t="s">
        <v>22</v>
      </c>
      <c r="F11" s="22" t="s">
        <v>136</v>
      </c>
      <c r="G11" s="22" t="s">
        <v>91</v>
      </c>
      <c r="H11" s="22">
        <v>0</v>
      </c>
      <c r="I11" s="22">
        <v>1</v>
      </c>
      <c r="J11" s="21" t="s">
        <v>96</v>
      </c>
      <c r="K11" s="21"/>
      <c r="L11" s="21"/>
      <c r="M11" s="21"/>
      <c r="N11" s="21" t="s">
        <v>97</v>
      </c>
      <c r="O11" s="21"/>
      <c r="P11" s="21"/>
      <c r="Q11" s="21"/>
    </row>
    <row r="12" spans="1:17" x14ac:dyDescent="0.25">
      <c r="A12" s="22">
        <v>11</v>
      </c>
      <c r="B12" s="22" t="s">
        <v>19</v>
      </c>
      <c r="C12" s="22" t="s">
        <v>45</v>
      </c>
      <c r="D12" s="22" t="s">
        <v>47</v>
      </c>
      <c r="E12" s="22" t="s">
        <v>14</v>
      </c>
      <c r="F12" s="22" t="s">
        <v>43</v>
      </c>
      <c r="G12" s="22" t="s">
        <v>166</v>
      </c>
      <c r="H12" s="22">
        <v>1</v>
      </c>
      <c r="I12" s="22">
        <v>1</v>
      </c>
      <c r="J12" s="21" t="s">
        <v>86</v>
      </c>
      <c r="K12" s="21" t="s">
        <v>87</v>
      </c>
      <c r="L12" s="21" t="s">
        <v>88</v>
      </c>
      <c r="M12" s="21" t="s">
        <v>88</v>
      </c>
      <c r="N12" s="21" t="s">
        <v>88</v>
      </c>
      <c r="O12" s="21" t="s">
        <v>88</v>
      </c>
      <c r="P12" s="21" t="s">
        <v>88</v>
      </c>
      <c r="Q12" s="21" t="s">
        <v>88</v>
      </c>
    </row>
    <row r="13" spans="1:17" x14ac:dyDescent="0.25">
      <c r="A13" s="22">
        <v>12</v>
      </c>
      <c r="B13" s="22" t="s">
        <v>12</v>
      </c>
      <c r="C13" s="22" t="s">
        <v>49</v>
      </c>
      <c r="D13" s="22" t="s">
        <v>50</v>
      </c>
      <c r="E13" s="22" t="s">
        <v>189</v>
      </c>
      <c r="F13" s="22" t="s">
        <v>17</v>
      </c>
      <c r="G13" s="22" t="s">
        <v>164</v>
      </c>
      <c r="H13" s="22">
        <v>0</v>
      </c>
      <c r="I13" s="22">
        <v>1</v>
      </c>
      <c r="J13" s="21" t="s">
        <v>98</v>
      </c>
      <c r="K13" s="21"/>
      <c r="L13" s="21"/>
      <c r="M13" s="21"/>
      <c r="N13" s="21" t="s">
        <v>99</v>
      </c>
      <c r="O13" s="21"/>
      <c r="P13" s="21"/>
      <c r="Q13" s="21"/>
    </row>
    <row r="14" spans="1:17" x14ac:dyDescent="0.25">
      <c r="A14" s="22">
        <v>13</v>
      </c>
      <c r="B14" s="22" t="s">
        <v>12</v>
      </c>
      <c r="C14" s="22" t="s">
        <v>53</v>
      </c>
      <c r="D14" s="22" t="s">
        <v>54</v>
      </c>
      <c r="E14" s="22" t="s">
        <v>22</v>
      </c>
      <c r="F14" s="22" t="s">
        <v>17</v>
      </c>
      <c r="G14" s="22" t="s">
        <v>164</v>
      </c>
      <c r="H14" s="22">
        <v>0</v>
      </c>
      <c r="I14" s="22">
        <v>1</v>
      </c>
      <c r="J14" s="21" t="s">
        <v>98</v>
      </c>
      <c r="K14" s="21"/>
      <c r="L14" s="21"/>
      <c r="M14" s="21"/>
      <c r="N14" s="21" t="s">
        <v>99</v>
      </c>
      <c r="O14" s="21"/>
      <c r="P14" s="21"/>
      <c r="Q14" s="21"/>
    </row>
    <row r="15" spans="1:17" x14ac:dyDescent="0.25">
      <c r="A15" s="22">
        <v>14</v>
      </c>
      <c r="B15" s="22" t="s">
        <v>12</v>
      </c>
      <c r="C15" s="22" t="s">
        <v>55</v>
      </c>
      <c r="D15" s="22" t="s">
        <v>56</v>
      </c>
      <c r="E15" s="22" t="s">
        <v>14</v>
      </c>
      <c r="F15" s="22" t="s">
        <v>57</v>
      </c>
      <c r="G15" s="22" t="s">
        <v>164</v>
      </c>
      <c r="H15" s="22">
        <v>0</v>
      </c>
      <c r="I15" s="22">
        <v>1</v>
      </c>
      <c r="J15" s="21" t="s">
        <v>100</v>
      </c>
      <c r="K15" s="21"/>
      <c r="L15" s="21"/>
      <c r="M15" s="21"/>
      <c r="N15" s="21" t="s">
        <v>101</v>
      </c>
      <c r="O15" s="21"/>
      <c r="P15" s="21"/>
      <c r="Q15" s="21"/>
    </row>
    <row r="16" spans="1:17" x14ac:dyDescent="0.25">
      <c r="A16" s="22">
        <v>15</v>
      </c>
      <c r="B16" s="22" t="s">
        <v>12</v>
      </c>
      <c r="C16" s="22" t="s">
        <v>59</v>
      </c>
      <c r="D16" s="22" t="s">
        <v>60</v>
      </c>
      <c r="E16" s="22" t="s">
        <v>22</v>
      </c>
      <c r="F16" s="22" t="s">
        <v>57</v>
      </c>
      <c r="G16" s="22" t="s">
        <v>164</v>
      </c>
      <c r="H16" s="22">
        <v>0</v>
      </c>
      <c r="I16" s="22">
        <v>1</v>
      </c>
      <c r="J16" s="21" t="s">
        <v>100</v>
      </c>
      <c r="K16" s="21"/>
      <c r="L16" s="21"/>
      <c r="M16" s="21"/>
      <c r="N16" s="21" t="s">
        <v>101</v>
      </c>
      <c r="O16" s="21"/>
      <c r="P16" s="21"/>
      <c r="Q16" s="21"/>
    </row>
    <row r="17" spans="1:17" x14ac:dyDescent="0.25">
      <c r="A17" s="22">
        <v>16</v>
      </c>
      <c r="B17" s="22" t="s">
        <v>12</v>
      </c>
      <c r="C17" s="22" t="s">
        <v>61</v>
      </c>
      <c r="D17" s="22" t="s">
        <v>62</v>
      </c>
      <c r="E17" s="22" t="s">
        <v>14</v>
      </c>
      <c r="F17" s="22" t="s">
        <v>159</v>
      </c>
      <c r="G17" s="22" t="s">
        <v>164</v>
      </c>
      <c r="H17" s="22">
        <v>0</v>
      </c>
      <c r="I17" s="22">
        <v>1</v>
      </c>
      <c r="J17" s="21" t="s">
        <v>102</v>
      </c>
      <c r="K17" s="21"/>
      <c r="L17" s="21"/>
      <c r="M17" s="21"/>
      <c r="N17" s="21" t="s">
        <v>103</v>
      </c>
      <c r="O17" s="21"/>
      <c r="P17" s="21"/>
      <c r="Q17" s="21"/>
    </row>
    <row r="18" spans="1:17" x14ac:dyDescent="0.25">
      <c r="A18" s="22">
        <v>17</v>
      </c>
      <c r="B18" s="22" t="s">
        <v>12</v>
      </c>
      <c r="C18" s="22" t="s">
        <v>30</v>
      </c>
      <c r="D18" s="22" t="s">
        <v>31</v>
      </c>
      <c r="E18" s="22" t="s">
        <v>22</v>
      </c>
      <c r="F18" s="22" t="s">
        <v>132</v>
      </c>
      <c r="G18" s="22" t="s">
        <v>91</v>
      </c>
      <c r="H18" s="22">
        <v>0</v>
      </c>
      <c r="I18" s="22">
        <v>1</v>
      </c>
      <c r="J18" s="21" t="s">
        <v>94</v>
      </c>
      <c r="K18" s="21"/>
      <c r="L18" s="21"/>
      <c r="M18" s="21"/>
      <c r="N18" s="21" t="s">
        <v>95</v>
      </c>
      <c r="O18" s="21"/>
      <c r="P18" s="21"/>
      <c r="Q18" s="21"/>
    </row>
    <row r="19" spans="1:17" x14ac:dyDescent="0.25">
      <c r="A19" s="22">
        <v>18</v>
      </c>
      <c r="B19" s="22" t="s">
        <v>19</v>
      </c>
      <c r="C19" s="22" t="s">
        <v>30</v>
      </c>
      <c r="D19" s="22" t="s">
        <v>65</v>
      </c>
      <c r="E19" s="22" t="s">
        <v>22</v>
      </c>
      <c r="F19" s="22" t="s">
        <v>26</v>
      </c>
      <c r="G19" s="22" t="s">
        <v>144</v>
      </c>
      <c r="H19" s="22">
        <v>0</v>
      </c>
      <c r="I19" s="22">
        <v>1</v>
      </c>
      <c r="J19" s="21" t="s">
        <v>86</v>
      </c>
      <c r="K19" s="21" t="s">
        <v>88</v>
      </c>
      <c r="L19" s="21" t="s">
        <v>88</v>
      </c>
      <c r="M19" s="21" t="s">
        <v>88</v>
      </c>
      <c r="N19" s="21" t="s">
        <v>89</v>
      </c>
      <c r="O19" s="21" t="s">
        <v>88</v>
      </c>
      <c r="P19" s="21" t="s">
        <v>88</v>
      </c>
      <c r="Q19" s="21" t="s">
        <v>88</v>
      </c>
    </row>
    <row r="20" spans="1:17" x14ac:dyDescent="0.25">
      <c r="A20" s="22">
        <v>19</v>
      </c>
      <c r="B20" s="22" t="s">
        <v>12</v>
      </c>
      <c r="C20" s="22" t="s">
        <v>37</v>
      </c>
      <c r="D20" s="22" t="s">
        <v>38</v>
      </c>
      <c r="E20" s="22" t="s">
        <v>22</v>
      </c>
      <c r="F20" s="22" t="s">
        <v>132</v>
      </c>
      <c r="G20" s="22" t="s">
        <v>91</v>
      </c>
      <c r="H20" s="22">
        <v>0</v>
      </c>
      <c r="I20" s="22">
        <v>1</v>
      </c>
      <c r="J20" s="21" t="s">
        <v>94</v>
      </c>
      <c r="K20" s="21"/>
      <c r="L20" s="21"/>
      <c r="M20" s="21"/>
      <c r="N20" s="21" t="s">
        <v>95</v>
      </c>
      <c r="O20" s="21"/>
      <c r="P20" s="21"/>
      <c r="Q20" s="21"/>
    </row>
    <row r="21" spans="1:17" x14ac:dyDescent="0.25">
      <c r="A21" s="22">
        <v>20</v>
      </c>
      <c r="B21" s="22" t="s">
        <v>19</v>
      </c>
      <c r="C21" s="22" t="s">
        <v>37</v>
      </c>
      <c r="D21" s="22" t="s">
        <v>68</v>
      </c>
      <c r="E21" s="22" t="s">
        <v>22</v>
      </c>
      <c r="F21" s="22" t="s">
        <v>32</v>
      </c>
      <c r="G21" s="22" t="s">
        <v>165</v>
      </c>
      <c r="H21" s="22">
        <v>0</v>
      </c>
      <c r="I21" s="22">
        <v>1</v>
      </c>
      <c r="J21" s="21" t="s">
        <v>88</v>
      </c>
      <c r="K21" s="21" t="s">
        <v>87</v>
      </c>
      <c r="L21" s="21" t="s">
        <v>88</v>
      </c>
      <c r="M21" s="21" t="s">
        <v>88</v>
      </c>
      <c r="N21" s="21" t="s">
        <v>88</v>
      </c>
      <c r="O21" s="21" t="s">
        <v>90</v>
      </c>
      <c r="P21" s="21" t="s">
        <v>88</v>
      </c>
      <c r="Q21" s="21" t="s">
        <v>88</v>
      </c>
    </row>
    <row r="22" spans="1:17" x14ac:dyDescent="0.25">
      <c r="A22" s="22">
        <v>21</v>
      </c>
      <c r="B22" s="22" t="s">
        <v>12</v>
      </c>
      <c r="C22" s="22" t="s">
        <v>41</v>
      </c>
      <c r="D22" s="22" t="s">
        <v>42</v>
      </c>
      <c r="E22" s="22" t="s">
        <v>22</v>
      </c>
      <c r="F22" s="22" t="s">
        <v>136</v>
      </c>
      <c r="G22" s="22" t="s">
        <v>91</v>
      </c>
      <c r="H22" s="22">
        <v>0</v>
      </c>
      <c r="I22" s="22">
        <v>1</v>
      </c>
      <c r="J22" s="21" t="s">
        <v>96</v>
      </c>
      <c r="K22" s="21"/>
      <c r="L22" s="21"/>
      <c r="M22" s="21"/>
      <c r="N22" s="21" t="s">
        <v>97</v>
      </c>
      <c r="O22" s="21"/>
      <c r="P22" s="21"/>
      <c r="Q22" s="21"/>
    </row>
    <row r="23" spans="1:17" x14ac:dyDescent="0.25">
      <c r="A23" s="22">
        <v>22</v>
      </c>
      <c r="B23" s="22" t="s">
        <v>12</v>
      </c>
      <c r="C23" s="22" t="s">
        <v>45</v>
      </c>
      <c r="D23" s="22" t="s">
        <v>46</v>
      </c>
      <c r="E23" s="22" t="s">
        <v>22</v>
      </c>
      <c r="F23" s="22" t="s">
        <v>136</v>
      </c>
      <c r="G23" s="22" t="s">
        <v>91</v>
      </c>
      <c r="H23" s="22">
        <v>0</v>
      </c>
      <c r="I23" s="22">
        <v>1</v>
      </c>
      <c r="J23" s="21" t="s">
        <v>96</v>
      </c>
      <c r="K23" s="21"/>
      <c r="L23" s="21"/>
      <c r="M23" s="21"/>
      <c r="N23" s="21" t="s">
        <v>97</v>
      </c>
      <c r="O23" s="21"/>
      <c r="P23" s="21"/>
      <c r="Q23" s="21"/>
    </row>
    <row r="24" spans="1:17" x14ac:dyDescent="0.25">
      <c r="A24" s="22">
        <v>23</v>
      </c>
      <c r="B24" s="22" t="s">
        <v>19</v>
      </c>
      <c r="C24" s="22" t="s">
        <v>45</v>
      </c>
      <c r="D24" s="22" t="s">
        <v>70</v>
      </c>
      <c r="E24" s="22" t="s">
        <v>22</v>
      </c>
      <c r="F24" s="22" t="s">
        <v>43</v>
      </c>
      <c r="G24" s="22" t="s">
        <v>166</v>
      </c>
      <c r="H24" s="22">
        <v>1</v>
      </c>
      <c r="I24" s="22">
        <v>1</v>
      </c>
      <c r="J24" s="21" t="s">
        <v>86</v>
      </c>
      <c r="K24" s="21" t="s">
        <v>87</v>
      </c>
      <c r="L24" s="21" t="s">
        <v>88</v>
      </c>
      <c r="M24" s="21" t="s">
        <v>88</v>
      </c>
      <c r="N24" s="21" t="s">
        <v>89</v>
      </c>
      <c r="O24" s="21" t="s">
        <v>90</v>
      </c>
      <c r="P24" s="21" t="s">
        <v>88</v>
      </c>
      <c r="Q24" s="21" t="s">
        <v>88</v>
      </c>
    </row>
    <row r="25" spans="1:17" x14ac:dyDescent="0.25">
      <c r="A25" s="22">
        <v>24</v>
      </c>
      <c r="B25" s="22" t="s">
        <v>12</v>
      </c>
      <c r="C25" s="22" t="s">
        <v>49</v>
      </c>
      <c r="D25" s="22" t="s">
        <v>50</v>
      </c>
      <c r="E25" s="22" t="s">
        <v>22</v>
      </c>
      <c r="F25" s="22" t="s">
        <v>17</v>
      </c>
      <c r="G25" s="22" t="s">
        <v>164</v>
      </c>
      <c r="H25" s="22">
        <v>0</v>
      </c>
      <c r="I25" s="22">
        <v>1</v>
      </c>
      <c r="J25" s="21" t="s">
        <v>98</v>
      </c>
      <c r="K25" s="21"/>
      <c r="L25" s="21"/>
      <c r="M25" s="21"/>
      <c r="N25" s="21" t="s">
        <v>99</v>
      </c>
      <c r="O25" s="21"/>
      <c r="P25" s="21"/>
      <c r="Q25" s="21"/>
    </row>
    <row r="26" spans="1:17" x14ac:dyDescent="0.25">
      <c r="A26" s="22">
        <v>25</v>
      </c>
      <c r="B26" s="22" t="s">
        <v>12</v>
      </c>
      <c r="C26" s="22" t="s">
        <v>53</v>
      </c>
      <c r="D26" s="22" t="s">
        <v>54</v>
      </c>
      <c r="E26" s="22" t="s">
        <v>22</v>
      </c>
      <c r="F26" s="22" t="s">
        <v>17</v>
      </c>
      <c r="G26" s="22" t="s">
        <v>164</v>
      </c>
      <c r="H26" s="22">
        <v>0</v>
      </c>
      <c r="I26" s="22">
        <v>1</v>
      </c>
      <c r="J26" s="21" t="s">
        <v>98</v>
      </c>
      <c r="K26" s="21"/>
      <c r="L26" s="21"/>
      <c r="M26" s="21"/>
      <c r="N26" s="21" t="s">
        <v>99</v>
      </c>
      <c r="O26" s="21"/>
      <c r="P26" s="21"/>
      <c r="Q26" s="21"/>
    </row>
    <row r="27" spans="1:17" x14ac:dyDescent="0.25">
      <c r="A27" s="22">
        <v>26</v>
      </c>
      <c r="B27" s="22" t="s">
        <v>12</v>
      </c>
      <c r="C27" s="22" t="s">
        <v>55</v>
      </c>
      <c r="D27" s="22" t="s">
        <v>56</v>
      </c>
      <c r="E27" s="22" t="s">
        <v>22</v>
      </c>
      <c r="F27" s="22" t="s">
        <v>57</v>
      </c>
      <c r="G27" s="22" t="s">
        <v>164</v>
      </c>
      <c r="H27" s="22">
        <v>0</v>
      </c>
      <c r="I27" s="22">
        <v>1</v>
      </c>
      <c r="J27" s="21" t="s">
        <v>100</v>
      </c>
      <c r="K27" s="21"/>
      <c r="L27" s="21"/>
      <c r="M27" s="21"/>
      <c r="N27" s="21" t="s">
        <v>101</v>
      </c>
      <c r="O27" s="21"/>
      <c r="P27" s="21"/>
      <c r="Q27" s="21"/>
    </row>
    <row r="28" spans="1:17" x14ac:dyDescent="0.25">
      <c r="A28" s="22">
        <v>27</v>
      </c>
      <c r="B28" s="22" t="s">
        <v>12</v>
      </c>
      <c r="C28" s="22" t="s">
        <v>59</v>
      </c>
      <c r="D28" s="22" t="s">
        <v>60</v>
      </c>
      <c r="E28" s="22" t="s">
        <v>22</v>
      </c>
      <c r="F28" s="22" t="s">
        <v>57</v>
      </c>
      <c r="G28" s="22" t="s">
        <v>164</v>
      </c>
      <c r="H28" s="22">
        <v>0</v>
      </c>
      <c r="I28" s="22">
        <v>1</v>
      </c>
      <c r="J28" s="21" t="s">
        <v>100</v>
      </c>
      <c r="K28" s="21"/>
      <c r="L28" s="21"/>
      <c r="M28" s="21"/>
      <c r="N28" s="21" t="s">
        <v>101</v>
      </c>
      <c r="O28" s="21"/>
      <c r="P28" s="21"/>
      <c r="Q28" s="21"/>
    </row>
    <row r="29" spans="1:17" x14ac:dyDescent="0.25">
      <c r="A29" s="22">
        <v>28</v>
      </c>
      <c r="B29" s="22" t="s">
        <v>12</v>
      </c>
      <c r="C29" s="22" t="s">
        <v>61</v>
      </c>
      <c r="D29" s="22" t="s">
        <v>62</v>
      </c>
      <c r="E29" s="22" t="s">
        <v>22</v>
      </c>
      <c r="F29" s="22" t="s">
        <v>159</v>
      </c>
      <c r="G29" s="22" t="s">
        <v>164</v>
      </c>
      <c r="H29" s="22">
        <v>0</v>
      </c>
      <c r="I29" s="22">
        <v>1</v>
      </c>
      <c r="J29" s="21" t="s">
        <v>102</v>
      </c>
      <c r="K29" s="21"/>
      <c r="L29" s="21"/>
      <c r="M29" s="21"/>
      <c r="N29" s="21" t="s">
        <v>103</v>
      </c>
      <c r="O29" s="21"/>
      <c r="P29" s="21"/>
      <c r="Q29" s="21"/>
    </row>
    <row r="30" spans="1:17" x14ac:dyDescent="0.25">
      <c r="A30" s="22">
        <v>29</v>
      </c>
      <c r="B30" s="22" t="s">
        <v>12</v>
      </c>
      <c r="C30" s="22" t="s">
        <v>72</v>
      </c>
      <c r="D30" s="22" t="s">
        <v>73</v>
      </c>
      <c r="E30" s="22" t="s">
        <v>22</v>
      </c>
      <c r="F30" s="22" t="s">
        <v>159</v>
      </c>
      <c r="G30" s="22" t="s">
        <v>164</v>
      </c>
      <c r="H30" s="22">
        <v>0</v>
      </c>
      <c r="I30" s="22">
        <v>1</v>
      </c>
      <c r="J30" s="21" t="s">
        <v>102</v>
      </c>
      <c r="K30" s="21"/>
      <c r="L30" s="21"/>
      <c r="M30" s="21"/>
      <c r="N30" s="21" t="s">
        <v>103</v>
      </c>
      <c r="O30" s="21"/>
      <c r="P30" s="21"/>
      <c r="Q30" s="21"/>
    </row>
  </sheetData>
  <mergeCells count="46">
    <mergeCell ref="J2:M2"/>
    <mergeCell ref="N2:Q2"/>
    <mergeCell ref="J3:M3"/>
    <mergeCell ref="N3:Q3"/>
    <mergeCell ref="J4:M4"/>
    <mergeCell ref="N4:Q4"/>
    <mergeCell ref="J5:M5"/>
    <mergeCell ref="N5:Q5"/>
    <mergeCell ref="J6:M6"/>
    <mergeCell ref="N6:Q6"/>
    <mergeCell ref="J8:M8"/>
    <mergeCell ref="N8:Q8"/>
    <mergeCell ref="J10:M10"/>
    <mergeCell ref="N10:Q10"/>
    <mergeCell ref="J11:M11"/>
    <mergeCell ref="N11:Q11"/>
    <mergeCell ref="J13:M13"/>
    <mergeCell ref="N13:Q13"/>
    <mergeCell ref="J14:M14"/>
    <mergeCell ref="N14:Q14"/>
    <mergeCell ref="J15:M15"/>
    <mergeCell ref="N15:Q15"/>
    <mergeCell ref="J16:M16"/>
    <mergeCell ref="N16:Q16"/>
    <mergeCell ref="J17:M17"/>
    <mergeCell ref="N17:Q17"/>
    <mergeCell ref="J18:M18"/>
    <mergeCell ref="N18:Q18"/>
    <mergeCell ref="J20:M20"/>
    <mergeCell ref="N20:Q20"/>
    <mergeCell ref="J22:M22"/>
    <mergeCell ref="N22:Q22"/>
    <mergeCell ref="J23:M23"/>
    <mergeCell ref="N23:Q23"/>
    <mergeCell ref="J25:M25"/>
    <mergeCell ref="N25:Q25"/>
    <mergeCell ref="J26:M26"/>
    <mergeCell ref="N26:Q26"/>
    <mergeCell ref="J27:M27"/>
    <mergeCell ref="N27:Q27"/>
    <mergeCell ref="J28:M28"/>
    <mergeCell ref="N28:Q28"/>
    <mergeCell ref="J29:M29"/>
    <mergeCell ref="N29:Q29"/>
    <mergeCell ref="J30:M30"/>
    <mergeCell ref="N30:Q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22" customWidth="1"/>
    <col min="4" max="4" width="11" customWidth="1"/>
    <col min="5" max="5" width="18" customWidth="1"/>
    <col min="6" max="6" width="8" customWidth="1"/>
    <col min="8" max="9" width="4" customWidth="1"/>
    <col min="10" max="17" width="4.3" customWidth="1"/>
  </cols>
  <sheetData>
    <row r="1" spans="1:17" x14ac:dyDescent="0.25">
      <c r="A1" s="24" t="s">
        <v>183</v>
      </c>
      <c r="B1" s="24" t="s">
        <v>184</v>
      </c>
      <c r="C1" s="24" t="s">
        <v>185</v>
      </c>
      <c r="D1" s="24" t="s">
        <v>186</v>
      </c>
      <c r="E1" s="24" t="s">
        <v>187</v>
      </c>
      <c r="F1" s="24" t="s">
        <v>188</v>
      </c>
      <c r="G1" s="24" t="s">
        <v>3</v>
      </c>
      <c r="H1" s="24" t="s">
        <v>75</v>
      </c>
      <c r="I1" s="24" t="s">
        <v>76</v>
      </c>
      <c r="J1" s="25" t="s">
        <v>77</v>
      </c>
      <c r="K1" s="25" t="s">
        <v>78</v>
      </c>
      <c r="L1" s="25" t="s">
        <v>79</v>
      </c>
      <c r="M1" s="25" t="s">
        <v>80</v>
      </c>
      <c r="N1" s="25" t="s">
        <v>81</v>
      </c>
      <c r="O1" s="25" t="s">
        <v>82</v>
      </c>
      <c r="P1" s="25" t="s">
        <v>83</v>
      </c>
      <c r="Q1" s="25" t="s">
        <v>84</v>
      </c>
    </row>
    <row r="2" spans="1:17" x14ac:dyDescent="0.25">
      <c r="A2" s="22">
        <v>1</v>
      </c>
      <c r="B2" s="22" t="s">
        <v>12</v>
      </c>
      <c r="C2" s="22" t="s">
        <v>11</v>
      </c>
      <c r="D2" s="22" t="s">
        <v>13</v>
      </c>
      <c r="E2" s="22" t="s">
        <v>14</v>
      </c>
      <c r="F2" s="22" t="s">
        <v>17</v>
      </c>
      <c r="G2" s="22" t="s">
        <v>13</v>
      </c>
      <c r="H2" s="22">
        <v>0</v>
      </c>
      <c r="I2" s="22">
        <v>1</v>
      </c>
      <c r="J2" s="21" t="s">
        <v>174</v>
      </c>
      <c r="K2" s="21"/>
      <c r="L2" s="21"/>
      <c r="M2" s="21"/>
      <c r="N2" s="21" t="s">
        <v>175</v>
      </c>
      <c r="O2" s="21"/>
      <c r="P2" s="21"/>
      <c r="Q2" s="21"/>
    </row>
    <row r="3" spans="1:17" x14ac:dyDescent="0.25">
      <c r="A3" s="22">
        <v>2</v>
      </c>
      <c r="B3" s="22" t="s">
        <v>12</v>
      </c>
      <c r="C3" s="22" t="s">
        <v>20</v>
      </c>
      <c r="D3" s="22" t="s">
        <v>21</v>
      </c>
      <c r="E3" s="22" t="s">
        <v>22</v>
      </c>
      <c r="F3" s="22" t="s">
        <v>17</v>
      </c>
      <c r="G3" s="22" t="s">
        <v>13</v>
      </c>
      <c r="H3" s="22">
        <v>0</v>
      </c>
      <c r="I3" s="22">
        <v>1</v>
      </c>
      <c r="J3" s="21" t="s">
        <v>174</v>
      </c>
      <c r="K3" s="21"/>
      <c r="L3" s="21"/>
      <c r="M3" s="21"/>
      <c r="N3" s="21" t="s">
        <v>175</v>
      </c>
      <c r="O3" s="21"/>
      <c r="P3" s="21"/>
      <c r="Q3" s="21"/>
    </row>
    <row r="4" spans="1:17" x14ac:dyDescent="0.25">
      <c r="A4" s="22">
        <v>3</v>
      </c>
      <c r="B4" s="22" t="s">
        <v>12</v>
      </c>
      <c r="C4" s="22" t="s">
        <v>24</v>
      </c>
      <c r="D4" s="22" t="s">
        <v>25</v>
      </c>
      <c r="E4" s="22" t="s">
        <v>14</v>
      </c>
      <c r="F4" s="22" t="s">
        <v>26</v>
      </c>
      <c r="G4" s="22" t="s">
        <v>176</v>
      </c>
      <c r="H4" s="22">
        <v>0</v>
      </c>
      <c r="I4" s="22">
        <v>1</v>
      </c>
      <c r="J4" s="21" t="s">
        <v>92</v>
      </c>
      <c r="K4" s="21"/>
      <c r="L4" s="21"/>
      <c r="M4" s="21"/>
      <c r="N4" s="21" t="s">
        <v>93</v>
      </c>
      <c r="O4" s="21"/>
      <c r="P4" s="21"/>
      <c r="Q4" s="21"/>
    </row>
    <row r="5" spans="1:17" x14ac:dyDescent="0.25">
      <c r="A5" s="22">
        <v>4</v>
      </c>
      <c r="B5" s="22" t="s">
        <v>12</v>
      </c>
      <c r="C5" s="22" t="s">
        <v>28</v>
      </c>
      <c r="D5" s="22" t="s">
        <v>29</v>
      </c>
      <c r="E5" s="22" t="s">
        <v>22</v>
      </c>
      <c r="F5" s="22" t="s">
        <v>26</v>
      </c>
      <c r="G5" s="22" t="s">
        <v>176</v>
      </c>
      <c r="H5" s="22">
        <v>0</v>
      </c>
      <c r="I5" s="22">
        <v>1</v>
      </c>
      <c r="J5" s="21" t="s">
        <v>92</v>
      </c>
      <c r="K5" s="21"/>
      <c r="L5" s="21"/>
      <c r="M5" s="21"/>
      <c r="N5" s="21" t="s">
        <v>93</v>
      </c>
      <c r="O5" s="21"/>
      <c r="P5" s="21"/>
      <c r="Q5" s="21"/>
    </row>
    <row r="6" spans="1:17" x14ac:dyDescent="0.25">
      <c r="A6" s="22">
        <v>5</v>
      </c>
      <c r="B6" s="22" t="s">
        <v>12</v>
      </c>
      <c r="C6" s="22" t="s">
        <v>30</v>
      </c>
      <c r="D6" s="22" t="s">
        <v>31</v>
      </c>
      <c r="E6" s="22" t="s">
        <v>14</v>
      </c>
      <c r="F6" s="22" t="s">
        <v>32</v>
      </c>
      <c r="G6" s="22" t="s">
        <v>177</v>
      </c>
      <c r="H6" s="22">
        <v>0</v>
      </c>
      <c r="I6" s="22">
        <v>1</v>
      </c>
      <c r="J6" s="21" t="s">
        <v>94</v>
      </c>
      <c r="K6" s="21"/>
      <c r="L6" s="21"/>
      <c r="M6" s="21"/>
      <c r="N6" s="21" t="s">
        <v>95</v>
      </c>
      <c r="O6" s="21"/>
      <c r="P6" s="21"/>
      <c r="Q6" s="21"/>
    </row>
    <row r="7" spans="1:17" x14ac:dyDescent="0.25">
      <c r="A7" s="22">
        <v>6</v>
      </c>
      <c r="B7" s="22" t="s">
        <v>19</v>
      </c>
      <c r="C7" s="22" t="s">
        <v>30</v>
      </c>
      <c r="D7" s="22" t="s">
        <v>34</v>
      </c>
      <c r="E7" s="22" t="s">
        <v>14</v>
      </c>
      <c r="F7" s="22" t="s">
        <v>43</v>
      </c>
      <c r="G7" s="22" t="s">
        <v>122</v>
      </c>
      <c r="H7" s="22">
        <v>0</v>
      </c>
      <c r="I7" s="22">
        <v>1</v>
      </c>
      <c r="J7" s="21" t="s">
        <v>86</v>
      </c>
      <c r="K7" s="21" t="s">
        <v>88</v>
      </c>
      <c r="L7" s="21" t="s">
        <v>88</v>
      </c>
      <c r="M7" s="21" t="s">
        <v>88</v>
      </c>
      <c r="N7" s="21" t="s">
        <v>89</v>
      </c>
      <c r="O7" s="21" t="s">
        <v>88</v>
      </c>
      <c r="P7" s="21" t="s">
        <v>88</v>
      </c>
      <c r="Q7" s="21" t="s">
        <v>88</v>
      </c>
    </row>
    <row r="8" spans="1:17" x14ac:dyDescent="0.25">
      <c r="A8" s="22">
        <v>7</v>
      </c>
      <c r="B8" s="22" t="s">
        <v>12</v>
      </c>
      <c r="C8" s="22" t="s">
        <v>37</v>
      </c>
      <c r="D8" s="22" t="s">
        <v>38</v>
      </c>
      <c r="E8" s="22" t="s">
        <v>22</v>
      </c>
      <c r="F8" s="22" t="s">
        <v>32</v>
      </c>
      <c r="G8" s="22" t="s">
        <v>177</v>
      </c>
      <c r="H8" s="22">
        <v>0</v>
      </c>
      <c r="I8" s="22">
        <v>1</v>
      </c>
      <c r="J8" s="21" t="s">
        <v>94</v>
      </c>
      <c r="K8" s="21"/>
      <c r="L8" s="21"/>
      <c r="M8" s="21"/>
      <c r="N8" s="21" t="s">
        <v>95</v>
      </c>
      <c r="O8" s="21"/>
      <c r="P8" s="21"/>
      <c r="Q8" s="21"/>
    </row>
    <row r="9" spans="1:17" x14ac:dyDescent="0.25">
      <c r="A9" s="22">
        <v>8</v>
      </c>
      <c r="B9" s="22" t="s">
        <v>19</v>
      </c>
      <c r="C9" s="22" t="s">
        <v>37</v>
      </c>
      <c r="D9" s="22" t="s">
        <v>39</v>
      </c>
      <c r="E9" s="22" t="s">
        <v>14</v>
      </c>
      <c r="F9" s="22" t="s">
        <v>51</v>
      </c>
      <c r="G9" s="22" t="s">
        <v>178</v>
      </c>
      <c r="H9" s="22">
        <v>0</v>
      </c>
      <c r="I9" s="22">
        <v>1</v>
      </c>
      <c r="J9" s="21" t="s">
        <v>88</v>
      </c>
      <c r="K9" s="21" t="s">
        <v>87</v>
      </c>
      <c r="L9" s="21" t="s">
        <v>88</v>
      </c>
      <c r="M9" s="21" t="s">
        <v>88</v>
      </c>
      <c r="N9" s="21" t="s">
        <v>88</v>
      </c>
      <c r="O9" s="21" t="s">
        <v>90</v>
      </c>
      <c r="P9" s="21" t="s">
        <v>88</v>
      </c>
      <c r="Q9" s="21" t="s">
        <v>88</v>
      </c>
    </row>
    <row r="10" spans="1:17" x14ac:dyDescent="0.25">
      <c r="A10" s="22">
        <v>9</v>
      </c>
      <c r="B10" s="22" t="s">
        <v>12</v>
      </c>
      <c r="C10" s="22" t="s">
        <v>41</v>
      </c>
      <c r="D10" s="22" t="s">
        <v>42</v>
      </c>
      <c r="E10" s="22" t="s">
        <v>14</v>
      </c>
      <c r="F10" s="22" t="s">
        <v>57</v>
      </c>
      <c r="G10" s="22" t="s">
        <v>179</v>
      </c>
      <c r="H10" s="22">
        <v>0</v>
      </c>
      <c r="I10" s="22">
        <v>1</v>
      </c>
      <c r="J10" s="21" t="s">
        <v>96</v>
      </c>
      <c r="K10" s="21"/>
      <c r="L10" s="21"/>
      <c r="M10" s="21"/>
      <c r="N10" s="21" t="s">
        <v>97</v>
      </c>
      <c r="O10" s="21"/>
      <c r="P10" s="21"/>
      <c r="Q10" s="21"/>
    </row>
    <row r="11" spans="1:17" x14ac:dyDescent="0.25">
      <c r="A11" s="22">
        <v>10</v>
      </c>
      <c r="B11" s="22" t="s">
        <v>12</v>
      </c>
      <c r="C11" s="22" t="s">
        <v>45</v>
      </c>
      <c r="D11" s="22" t="s">
        <v>46</v>
      </c>
      <c r="E11" s="22" t="s">
        <v>22</v>
      </c>
      <c r="F11" s="22" t="s">
        <v>57</v>
      </c>
      <c r="G11" s="22" t="s">
        <v>179</v>
      </c>
      <c r="H11" s="22">
        <v>0</v>
      </c>
      <c r="I11" s="22">
        <v>1</v>
      </c>
      <c r="J11" s="21" t="s">
        <v>96</v>
      </c>
      <c r="K11" s="21"/>
      <c r="L11" s="21"/>
      <c r="M11" s="21"/>
      <c r="N11" s="21" t="s">
        <v>97</v>
      </c>
      <c r="O11" s="21"/>
      <c r="P11" s="21"/>
      <c r="Q11" s="21"/>
    </row>
    <row r="12" spans="1:17" x14ac:dyDescent="0.25">
      <c r="A12" s="22">
        <v>11</v>
      </c>
      <c r="B12" s="22" t="s">
        <v>19</v>
      </c>
      <c r="C12" s="22" t="s">
        <v>45</v>
      </c>
      <c r="D12" s="22" t="s">
        <v>47</v>
      </c>
      <c r="E12" s="22" t="s">
        <v>14</v>
      </c>
      <c r="F12" s="22" t="s">
        <v>63</v>
      </c>
      <c r="G12" s="22" t="s">
        <v>180</v>
      </c>
      <c r="H12" s="22">
        <v>1</v>
      </c>
      <c r="I12" s="22">
        <v>1</v>
      </c>
      <c r="J12" s="21" t="s">
        <v>86</v>
      </c>
      <c r="K12" s="21" t="s">
        <v>87</v>
      </c>
      <c r="L12" s="21" t="s">
        <v>88</v>
      </c>
      <c r="M12" s="21" t="s">
        <v>88</v>
      </c>
      <c r="N12" s="21" t="s">
        <v>88</v>
      </c>
      <c r="O12" s="21" t="s">
        <v>88</v>
      </c>
      <c r="P12" s="21" t="s">
        <v>88</v>
      </c>
      <c r="Q12" s="21" t="s">
        <v>88</v>
      </c>
    </row>
    <row r="13" spans="1:17" x14ac:dyDescent="0.25">
      <c r="A13" s="22">
        <v>12</v>
      </c>
      <c r="B13" s="22" t="s">
        <v>12</v>
      </c>
      <c r="C13" s="22" t="s">
        <v>49</v>
      </c>
      <c r="D13" s="22" t="s">
        <v>50</v>
      </c>
      <c r="E13" s="22" t="s">
        <v>14</v>
      </c>
      <c r="F13" s="22" t="s">
        <v>171</v>
      </c>
      <c r="G13" s="22" t="s">
        <v>21</v>
      </c>
      <c r="H13" s="22">
        <v>0</v>
      </c>
      <c r="I13" s="22">
        <v>1</v>
      </c>
      <c r="J13" s="21" t="s">
        <v>98</v>
      </c>
      <c r="K13" s="21"/>
      <c r="L13" s="21"/>
      <c r="M13" s="21"/>
      <c r="N13" s="21" t="s">
        <v>99</v>
      </c>
      <c r="O13" s="21"/>
      <c r="P13" s="21"/>
      <c r="Q13" s="21"/>
    </row>
    <row r="14" spans="1:17" x14ac:dyDescent="0.25">
      <c r="A14" s="22">
        <v>13</v>
      </c>
      <c r="B14" s="22" t="s">
        <v>12</v>
      </c>
      <c r="C14" s="22" t="s">
        <v>53</v>
      </c>
      <c r="D14" s="22" t="s">
        <v>54</v>
      </c>
      <c r="E14" s="22" t="s">
        <v>22</v>
      </c>
      <c r="F14" s="22" t="s">
        <v>171</v>
      </c>
      <c r="G14" s="22" t="s">
        <v>21</v>
      </c>
      <c r="H14" s="22">
        <v>0</v>
      </c>
      <c r="I14" s="22">
        <v>1</v>
      </c>
      <c r="J14" s="21" t="s">
        <v>98</v>
      </c>
      <c r="K14" s="21"/>
      <c r="L14" s="21"/>
      <c r="M14" s="21"/>
      <c r="N14" s="21" t="s">
        <v>99</v>
      </c>
      <c r="O14" s="21"/>
      <c r="P14" s="21"/>
      <c r="Q14" s="21"/>
    </row>
    <row r="15" spans="1:17" x14ac:dyDescent="0.25">
      <c r="A15" s="22">
        <v>14</v>
      </c>
      <c r="B15" s="22" t="s">
        <v>12</v>
      </c>
      <c r="C15" s="22" t="s">
        <v>55</v>
      </c>
      <c r="D15" s="22" t="s">
        <v>56</v>
      </c>
      <c r="E15" s="22" t="s">
        <v>14</v>
      </c>
      <c r="F15" s="22" t="s">
        <v>132</v>
      </c>
      <c r="G15" s="22" t="s">
        <v>181</v>
      </c>
      <c r="H15" s="22">
        <v>0</v>
      </c>
      <c r="I15" s="22">
        <v>1</v>
      </c>
      <c r="J15" s="21" t="s">
        <v>100</v>
      </c>
      <c r="K15" s="21"/>
      <c r="L15" s="21"/>
      <c r="M15" s="21"/>
      <c r="N15" s="21" t="s">
        <v>101</v>
      </c>
      <c r="O15" s="21"/>
      <c r="P15" s="21"/>
      <c r="Q15" s="21"/>
    </row>
    <row r="16" spans="1:17" x14ac:dyDescent="0.25">
      <c r="A16" s="22">
        <v>15</v>
      </c>
      <c r="B16" s="22" t="s">
        <v>12</v>
      </c>
      <c r="C16" s="22" t="s">
        <v>59</v>
      </c>
      <c r="D16" s="22" t="s">
        <v>60</v>
      </c>
      <c r="E16" s="22" t="s">
        <v>22</v>
      </c>
      <c r="F16" s="22" t="s">
        <v>132</v>
      </c>
      <c r="G16" s="22" t="s">
        <v>181</v>
      </c>
      <c r="H16" s="22">
        <v>0</v>
      </c>
      <c r="I16" s="22">
        <v>1</v>
      </c>
      <c r="J16" s="21" t="s">
        <v>100</v>
      </c>
      <c r="K16" s="21"/>
      <c r="L16" s="21"/>
      <c r="M16" s="21"/>
      <c r="N16" s="21" t="s">
        <v>101</v>
      </c>
      <c r="O16" s="21"/>
      <c r="P16" s="21"/>
      <c r="Q16" s="21"/>
    </row>
    <row r="17" spans="1:17" x14ac:dyDescent="0.25">
      <c r="A17" s="22">
        <v>16</v>
      </c>
      <c r="B17" s="22" t="s">
        <v>12</v>
      </c>
      <c r="C17" s="22" t="s">
        <v>61</v>
      </c>
      <c r="D17" s="22" t="s">
        <v>62</v>
      </c>
      <c r="E17" s="22" t="s">
        <v>14</v>
      </c>
      <c r="F17" s="22" t="s">
        <v>159</v>
      </c>
      <c r="G17" s="22" t="s">
        <v>182</v>
      </c>
      <c r="H17" s="22">
        <v>0</v>
      </c>
      <c r="I17" s="22">
        <v>1</v>
      </c>
      <c r="J17" s="21" t="s">
        <v>102</v>
      </c>
      <c r="K17" s="21"/>
      <c r="L17" s="21"/>
      <c r="M17" s="21"/>
      <c r="N17" s="21" t="s">
        <v>103</v>
      </c>
      <c r="O17" s="21"/>
      <c r="P17" s="21"/>
      <c r="Q17" s="21"/>
    </row>
    <row r="18" spans="1:17" x14ac:dyDescent="0.25">
      <c r="A18" s="22">
        <v>17</v>
      </c>
      <c r="B18" s="22" t="s">
        <v>12</v>
      </c>
      <c r="C18" s="22" t="s">
        <v>30</v>
      </c>
      <c r="D18" s="22" t="s">
        <v>31</v>
      </c>
      <c r="E18" s="22" t="s">
        <v>22</v>
      </c>
      <c r="F18" s="22" t="s">
        <v>32</v>
      </c>
      <c r="G18" s="22" t="s">
        <v>177</v>
      </c>
      <c r="H18" s="22">
        <v>0</v>
      </c>
      <c r="I18" s="22">
        <v>1</v>
      </c>
      <c r="J18" s="21" t="s">
        <v>94</v>
      </c>
      <c r="K18" s="21"/>
      <c r="L18" s="21"/>
      <c r="M18" s="21"/>
      <c r="N18" s="21" t="s">
        <v>95</v>
      </c>
      <c r="O18" s="21"/>
      <c r="P18" s="21"/>
      <c r="Q18" s="21"/>
    </row>
    <row r="19" spans="1:17" x14ac:dyDescent="0.25">
      <c r="A19" s="22">
        <v>18</v>
      </c>
      <c r="B19" s="22" t="s">
        <v>19</v>
      </c>
      <c r="C19" s="22" t="s">
        <v>30</v>
      </c>
      <c r="D19" s="22" t="s">
        <v>65</v>
      </c>
      <c r="E19" s="22" t="s">
        <v>22</v>
      </c>
      <c r="F19" s="22" t="s">
        <v>43</v>
      </c>
      <c r="G19" s="22" t="s">
        <v>122</v>
      </c>
      <c r="H19" s="22">
        <v>0</v>
      </c>
      <c r="I19" s="22">
        <v>1</v>
      </c>
      <c r="J19" s="21" t="s">
        <v>86</v>
      </c>
      <c r="K19" s="21" t="s">
        <v>88</v>
      </c>
      <c r="L19" s="21" t="s">
        <v>88</v>
      </c>
      <c r="M19" s="21" t="s">
        <v>88</v>
      </c>
      <c r="N19" s="21" t="s">
        <v>89</v>
      </c>
      <c r="O19" s="21" t="s">
        <v>88</v>
      </c>
      <c r="P19" s="21" t="s">
        <v>88</v>
      </c>
      <c r="Q19" s="21" t="s">
        <v>88</v>
      </c>
    </row>
    <row r="20" spans="1:17" x14ac:dyDescent="0.25">
      <c r="A20" s="22">
        <v>19</v>
      </c>
      <c r="B20" s="22" t="s">
        <v>12</v>
      </c>
      <c r="C20" s="22" t="s">
        <v>37</v>
      </c>
      <c r="D20" s="22" t="s">
        <v>38</v>
      </c>
      <c r="E20" s="22" t="s">
        <v>22</v>
      </c>
      <c r="F20" s="22" t="s">
        <v>32</v>
      </c>
      <c r="G20" s="22" t="s">
        <v>177</v>
      </c>
      <c r="H20" s="22">
        <v>0</v>
      </c>
      <c r="I20" s="22">
        <v>1</v>
      </c>
      <c r="J20" s="21" t="s">
        <v>94</v>
      </c>
      <c r="K20" s="21"/>
      <c r="L20" s="21"/>
      <c r="M20" s="21"/>
      <c r="N20" s="21" t="s">
        <v>95</v>
      </c>
      <c r="O20" s="21"/>
      <c r="P20" s="21"/>
      <c r="Q20" s="21"/>
    </row>
    <row r="21" spans="1:17" x14ac:dyDescent="0.25">
      <c r="A21" s="22">
        <v>20</v>
      </c>
      <c r="B21" s="22" t="s">
        <v>19</v>
      </c>
      <c r="C21" s="22" t="s">
        <v>37</v>
      </c>
      <c r="D21" s="22" t="s">
        <v>68</v>
      </c>
      <c r="E21" s="22" t="s">
        <v>22</v>
      </c>
      <c r="F21" s="22" t="s">
        <v>51</v>
      </c>
      <c r="G21" s="22" t="s">
        <v>178</v>
      </c>
      <c r="H21" s="22">
        <v>0</v>
      </c>
      <c r="I21" s="22">
        <v>1</v>
      </c>
      <c r="J21" s="21" t="s">
        <v>88</v>
      </c>
      <c r="K21" s="21" t="s">
        <v>87</v>
      </c>
      <c r="L21" s="21" t="s">
        <v>88</v>
      </c>
      <c r="M21" s="21" t="s">
        <v>88</v>
      </c>
      <c r="N21" s="21" t="s">
        <v>88</v>
      </c>
      <c r="O21" s="21" t="s">
        <v>90</v>
      </c>
      <c r="P21" s="21" t="s">
        <v>88</v>
      </c>
      <c r="Q21" s="21" t="s">
        <v>88</v>
      </c>
    </row>
    <row r="22" spans="1:17" x14ac:dyDescent="0.25">
      <c r="A22" s="22">
        <v>21</v>
      </c>
      <c r="B22" s="22" t="s">
        <v>12</v>
      </c>
      <c r="C22" s="22" t="s">
        <v>41</v>
      </c>
      <c r="D22" s="22" t="s">
        <v>42</v>
      </c>
      <c r="E22" s="22" t="s">
        <v>22</v>
      </c>
      <c r="F22" s="22" t="s">
        <v>57</v>
      </c>
      <c r="G22" s="22" t="s">
        <v>179</v>
      </c>
      <c r="H22" s="22">
        <v>0</v>
      </c>
      <c r="I22" s="22">
        <v>1</v>
      </c>
      <c r="J22" s="21" t="s">
        <v>96</v>
      </c>
      <c r="K22" s="21"/>
      <c r="L22" s="21"/>
      <c r="M22" s="21"/>
      <c r="N22" s="21" t="s">
        <v>97</v>
      </c>
      <c r="O22" s="21"/>
      <c r="P22" s="21"/>
      <c r="Q22" s="21"/>
    </row>
    <row r="23" spans="1:17" x14ac:dyDescent="0.25">
      <c r="A23" s="22">
        <v>22</v>
      </c>
      <c r="B23" s="22" t="s">
        <v>12</v>
      </c>
      <c r="C23" s="22" t="s">
        <v>45</v>
      </c>
      <c r="D23" s="22" t="s">
        <v>46</v>
      </c>
      <c r="E23" s="22" t="s">
        <v>22</v>
      </c>
      <c r="F23" s="22" t="s">
        <v>57</v>
      </c>
      <c r="G23" s="22" t="s">
        <v>179</v>
      </c>
      <c r="H23" s="22">
        <v>0</v>
      </c>
      <c r="I23" s="22">
        <v>1</v>
      </c>
      <c r="J23" s="21" t="s">
        <v>96</v>
      </c>
      <c r="K23" s="21"/>
      <c r="L23" s="21"/>
      <c r="M23" s="21"/>
      <c r="N23" s="21" t="s">
        <v>97</v>
      </c>
      <c r="O23" s="21"/>
      <c r="P23" s="21"/>
      <c r="Q23" s="21"/>
    </row>
    <row r="24" spans="1:17" x14ac:dyDescent="0.25">
      <c r="A24" s="22">
        <v>23</v>
      </c>
      <c r="B24" s="22" t="s">
        <v>19</v>
      </c>
      <c r="C24" s="22" t="s">
        <v>45</v>
      </c>
      <c r="D24" s="22" t="s">
        <v>70</v>
      </c>
      <c r="E24" s="22" t="s">
        <v>22</v>
      </c>
      <c r="F24" s="22" t="s">
        <v>63</v>
      </c>
      <c r="G24" s="22" t="s">
        <v>180</v>
      </c>
      <c r="H24" s="22">
        <v>1</v>
      </c>
      <c r="I24" s="22">
        <v>1</v>
      </c>
      <c r="J24" s="21" t="s">
        <v>86</v>
      </c>
      <c r="K24" s="21" t="s">
        <v>87</v>
      </c>
      <c r="L24" s="21" t="s">
        <v>88</v>
      </c>
      <c r="M24" s="21" t="s">
        <v>88</v>
      </c>
      <c r="N24" s="21" t="s">
        <v>89</v>
      </c>
      <c r="O24" s="21" t="s">
        <v>90</v>
      </c>
      <c r="P24" s="21" t="s">
        <v>88</v>
      </c>
      <c r="Q24" s="21" t="s">
        <v>88</v>
      </c>
    </row>
    <row r="25" spans="1:17" x14ac:dyDescent="0.25">
      <c r="A25" s="22">
        <v>24</v>
      </c>
      <c r="B25" s="22" t="s">
        <v>12</v>
      </c>
      <c r="C25" s="22" t="s">
        <v>49</v>
      </c>
      <c r="D25" s="22" t="s">
        <v>50</v>
      </c>
      <c r="E25" s="22" t="s">
        <v>22</v>
      </c>
      <c r="F25" s="22" t="s">
        <v>171</v>
      </c>
      <c r="G25" s="22" t="s">
        <v>21</v>
      </c>
      <c r="H25" s="22">
        <v>0</v>
      </c>
      <c r="I25" s="22">
        <v>1</v>
      </c>
      <c r="J25" s="21" t="s">
        <v>98</v>
      </c>
      <c r="K25" s="21"/>
      <c r="L25" s="21"/>
      <c r="M25" s="21"/>
      <c r="N25" s="21" t="s">
        <v>99</v>
      </c>
      <c r="O25" s="21"/>
      <c r="P25" s="21"/>
      <c r="Q25" s="21"/>
    </row>
    <row r="26" spans="1:17" x14ac:dyDescent="0.25">
      <c r="A26" s="22">
        <v>25</v>
      </c>
      <c r="B26" s="22" t="s">
        <v>12</v>
      </c>
      <c r="C26" s="22" t="s">
        <v>53</v>
      </c>
      <c r="D26" s="22" t="s">
        <v>54</v>
      </c>
      <c r="E26" s="22" t="s">
        <v>22</v>
      </c>
      <c r="F26" s="22" t="s">
        <v>171</v>
      </c>
      <c r="G26" s="22" t="s">
        <v>21</v>
      </c>
      <c r="H26" s="22">
        <v>0</v>
      </c>
      <c r="I26" s="22">
        <v>1</v>
      </c>
      <c r="J26" s="21" t="s">
        <v>98</v>
      </c>
      <c r="K26" s="21"/>
      <c r="L26" s="21"/>
      <c r="M26" s="21"/>
      <c r="N26" s="21" t="s">
        <v>99</v>
      </c>
      <c r="O26" s="21"/>
      <c r="P26" s="21"/>
      <c r="Q26" s="21"/>
    </row>
    <row r="27" spans="1:17" x14ac:dyDescent="0.25">
      <c r="A27" s="22">
        <v>26</v>
      </c>
      <c r="B27" s="22" t="s">
        <v>12</v>
      </c>
      <c r="C27" s="22" t="s">
        <v>55</v>
      </c>
      <c r="D27" s="22" t="s">
        <v>56</v>
      </c>
      <c r="E27" s="22" t="s">
        <v>22</v>
      </c>
      <c r="F27" s="22" t="s">
        <v>132</v>
      </c>
      <c r="G27" s="22" t="s">
        <v>181</v>
      </c>
      <c r="H27" s="22">
        <v>0</v>
      </c>
      <c r="I27" s="22">
        <v>1</v>
      </c>
      <c r="J27" s="21" t="s">
        <v>100</v>
      </c>
      <c r="K27" s="21"/>
      <c r="L27" s="21"/>
      <c r="M27" s="21"/>
      <c r="N27" s="21" t="s">
        <v>101</v>
      </c>
      <c r="O27" s="21"/>
      <c r="P27" s="21"/>
      <c r="Q27" s="21"/>
    </row>
    <row r="28" spans="1:17" x14ac:dyDescent="0.25">
      <c r="A28" s="22">
        <v>27</v>
      </c>
      <c r="B28" s="22" t="s">
        <v>12</v>
      </c>
      <c r="C28" s="22" t="s">
        <v>59</v>
      </c>
      <c r="D28" s="22" t="s">
        <v>60</v>
      </c>
      <c r="E28" s="22" t="s">
        <v>22</v>
      </c>
      <c r="F28" s="22" t="s">
        <v>132</v>
      </c>
      <c r="G28" s="22" t="s">
        <v>181</v>
      </c>
      <c r="H28" s="22">
        <v>0</v>
      </c>
      <c r="I28" s="22">
        <v>1</v>
      </c>
      <c r="J28" s="21" t="s">
        <v>100</v>
      </c>
      <c r="K28" s="21"/>
      <c r="L28" s="21"/>
      <c r="M28" s="21"/>
      <c r="N28" s="21" t="s">
        <v>101</v>
      </c>
      <c r="O28" s="21"/>
      <c r="P28" s="21"/>
      <c r="Q28" s="21"/>
    </row>
    <row r="29" spans="1:17" x14ac:dyDescent="0.25">
      <c r="A29" s="22">
        <v>28</v>
      </c>
      <c r="B29" s="22" t="s">
        <v>12</v>
      </c>
      <c r="C29" s="22" t="s">
        <v>61</v>
      </c>
      <c r="D29" s="22" t="s">
        <v>62</v>
      </c>
      <c r="E29" s="22" t="s">
        <v>22</v>
      </c>
      <c r="F29" s="22" t="s">
        <v>159</v>
      </c>
      <c r="G29" s="22" t="s">
        <v>182</v>
      </c>
      <c r="H29" s="22">
        <v>0</v>
      </c>
      <c r="I29" s="22">
        <v>1</v>
      </c>
      <c r="J29" s="21" t="s">
        <v>102</v>
      </c>
      <c r="K29" s="21"/>
      <c r="L29" s="21"/>
      <c r="M29" s="21"/>
      <c r="N29" s="21" t="s">
        <v>103</v>
      </c>
      <c r="O29" s="21"/>
      <c r="P29" s="21"/>
      <c r="Q29" s="21"/>
    </row>
    <row r="30" spans="1:17" x14ac:dyDescent="0.25">
      <c r="A30" s="22">
        <v>29</v>
      </c>
      <c r="B30" s="22" t="s">
        <v>12</v>
      </c>
      <c r="C30" s="22" t="s">
        <v>72</v>
      </c>
      <c r="D30" s="22" t="s">
        <v>73</v>
      </c>
      <c r="E30" s="22" t="s">
        <v>22</v>
      </c>
      <c r="F30" s="22" t="s">
        <v>159</v>
      </c>
      <c r="G30" s="22" t="s">
        <v>182</v>
      </c>
      <c r="H30" s="22">
        <v>0</v>
      </c>
      <c r="I30" s="22">
        <v>1</v>
      </c>
      <c r="J30" s="21" t="s">
        <v>102</v>
      </c>
      <c r="K30" s="21"/>
      <c r="L30" s="21"/>
      <c r="M30" s="21"/>
      <c r="N30" s="21" t="s">
        <v>103</v>
      </c>
      <c r="O30" s="21"/>
      <c r="P30" s="21"/>
      <c r="Q30" s="21"/>
    </row>
  </sheetData>
  <mergeCells count="46">
    <mergeCell ref="J2:M2"/>
    <mergeCell ref="N2:Q2"/>
    <mergeCell ref="J3:M3"/>
    <mergeCell ref="N3:Q3"/>
    <mergeCell ref="J4:M4"/>
    <mergeCell ref="N4:Q4"/>
    <mergeCell ref="J5:M5"/>
    <mergeCell ref="N5:Q5"/>
    <mergeCell ref="J6:M6"/>
    <mergeCell ref="N6:Q6"/>
    <mergeCell ref="J8:M8"/>
    <mergeCell ref="N8:Q8"/>
    <mergeCell ref="J10:M10"/>
    <mergeCell ref="N10:Q10"/>
    <mergeCell ref="J11:M11"/>
    <mergeCell ref="N11:Q11"/>
    <mergeCell ref="J13:M13"/>
    <mergeCell ref="N13:Q13"/>
    <mergeCell ref="J14:M14"/>
    <mergeCell ref="N14:Q14"/>
    <mergeCell ref="J15:M15"/>
    <mergeCell ref="N15:Q15"/>
    <mergeCell ref="J16:M16"/>
    <mergeCell ref="N16:Q16"/>
    <mergeCell ref="J17:M17"/>
    <mergeCell ref="N17:Q17"/>
    <mergeCell ref="J18:M18"/>
    <mergeCell ref="N18:Q18"/>
    <mergeCell ref="J20:M20"/>
    <mergeCell ref="N20:Q20"/>
    <mergeCell ref="J22:M22"/>
    <mergeCell ref="N22:Q22"/>
    <mergeCell ref="J23:M23"/>
    <mergeCell ref="N23:Q23"/>
    <mergeCell ref="J25:M25"/>
    <mergeCell ref="N25:Q25"/>
    <mergeCell ref="J26:M26"/>
    <mergeCell ref="N26:Q26"/>
    <mergeCell ref="J27:M27"/>
    <mergeCell ref="N27:Q27"/>
    <mergeCell ref="J28:M28"/>
    <mergeCell ref="N28:Q28"/>
    <mergeCell ref="J29:M29"/>
    <mergeCell ref="N29:Q29"/>
    <mergeCell ref="J30:M30"/>
    <mergeCell ref="N30:Q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6" customWidth="1"/>
    <col min="3" max="3" width="24" customWidth="1"/>
    <col min="4" max="10" width="10" customWidth="1"/>
  </cols>
  <sheetData>
    <row r="1" spans="1:10" x14ac:dyDescent="0.25">
      <c r="A1" s="24" t="s">
        <v>183</v>
      </c>
      <c r="B1" s="24" t="s">
        <v>193</v>
      </c>
      <c r="C1" s="24" t="s">
        <v>185</v>
      </c>
      <c r="D1" s="24" t="s">
        <v>112</v>
      </c>
      <c r="E1" s="24" t="s">
        <v>114</v>
      </c>
      <c r="F1" s="24" t="s">
        <v>116</v>
      </c>
      <c r="G1" s="24" t="s">
        <v>118</v>
      </c>
      <c r="H1" s="24" t="s">
        <v>119</v>
      </c>
      <c r="I1" s="24" t="s">
        <v>121</v>
      </c>
      <c r="J1" s="24" t="s">
        <v>123</v>
      </c>
    </row>
    <row r="2" spans="1:10" x14ac:dyDescent="0.25">
      <c r="A2" s="22">
        <v>0</v>
      </c>
      <c r="B2" s="22" t="s">
        <v>194</v>
      </c>
      <c r="C2" s="26" t="s">
        <v>195</v>
      </c>
      <c r="D2" s="22" t="s">
        <v>13</v>
      </c>
      <c r="E2" s="22" t="s">
        <v>13</v>
      </c>
      <c r="F2" s="22" t="s">
        <v>13</v>
      </c>
      <c r="G2" s="22" t="s">
        <v>13</v>
      </c>
      <c r="H2" s="22" t="s">
        <v>13</v>
      </c>
      <c r="I2" s="22" t="s">
        <v>13</v>
      </c>
      <c r="J2" s="22" t="s">
        <v>13</v>
      </c>
    </row>
    <row r="3" spans="1:10" x14ac:dyDescent="0.25">
      <c r="A3" s="22">
        <v>1</v>
      </c>
      <c r="B3" s="22">
        <v>0</v>
      </c>
      <c r="C3" s="26" t="s">
        <v>11</v>
      </c>
      <c r="D3" s="27" t="s">
        <v>34</v>
      </c>
      <c r="E3" s="22" t="s">
        <v>13</v>
      </c>
      <c r="F3" s="22" t="s">
        <v>13</v>
      </c>
      <c r="G3" s="22" t="s">
        <v>13</v>
      </c>
      <c r="H3" s="22" t="s">
        <v>13</v>
      </c>
      <c r="I3" s="22" t="s">
        <v>13</v>
      </c>
      <c r="J3" s="22" t="s">
        <v>13</v>
      </c>
    </row>
    <row r="4" spans="1:10" x14ac:dyDescent="0.25">
      <c r="A4" s="22">
        <v>2</v>
      </c>
      <c r="B4" s="22">
        <v>1</v>
      </c>
      <c r="C4" s="26" t="s">
        <v>20</v>
      </c>
      <c r="D4" s="22" t="s">
        <v>34</v>
      </c>
      <c r="E4" s="27" t="s">
        <v>39</v>
      </c>
      <c r="F4" s="22" t="s">
        <v>13</v>
      </c>
      <c r="G4" s="22" t="s">
        <v>13</v>
      </c>
      <c r="H4" s="22" t="s">
        <v>13</v>
      </c>
      <c r="I4" s="22" t="s">
        <v>13</v>
      </c>
      <c r="J4" s="22" t="s">
        <v>13</v>
      </c>
    </row>
    <row r="5" spans="1:10" x14ac:dyDescent="0.25">
      <c r="A5" s="22">
        <v>3</v>
      </c>
      <c r="B5" s="22">
        <v>2</v>
      </c>
      <c r="C5" s="26" t="s">
        <v>24</v>
      </c>
      <c r="D5" s="22" t="s">
        <v>34</v>
      </c>
      <c r="E5" s="22" t="s">
        <v>39</v>
      </c>
      <c r="F5" s="27" t="s">
        <v>47</v>
      </c>
      <c r="G5" s="22" t="s">
        <v>13</v>
      </c>
      <c r="H5" s="22" t="s">
        <v>13</v>
      </c>
      <c r="I5" s="22" t="s">
        <v>13</v>
      </c>
      <c r="J5" s="22" t="s">
        <v>13</v>
      </c>
    </row>
    <row r="6" spans="1:10" x14ac:dyDescent="0.25">
      <c r="A6" s="22">
        <v>4</v>
      </c>
      <c r="B6" s="22">
        <v>3</v>
      </c>
      <c r="C6" s="26" t="s">
        <v>28</v>
      </c>
      <c r="D6" s="22" t="s">
        <v>34</v>
      </c>
      <c r="E6" s="22" t="s">
        <v>39</v>
      </c>
      <c r="F6" s="22" t="s">
        <v>47</v>
      </c>
      <c r="G6" s="27" t="s">
        <v>177</v>
      </c>
      <c r="H6" s="22" t="s">
        <v>13</v>
      </c>
      <c r="I6" s="22" t="s">
        <v>13</v>
      </c>
      <c r="J6" s="22" t="s">
        <v>13</v>
      </c>
    </row>
    <row r="7" spans="1:10" x14ac:dyDescent="0.25">
      <c r="A7" s="22">
        <v>5</v>
      </c>
      <c r="B7" s="22">
        <v>4</v>
      </c>
      <c r="C7" s="26" t="s">
        <v>30</v>
      </c>
      <c r="D7" s="22" t="s">
        <v>34</v>
      </c>
      <c r="E7" s="22" t="s">
        <v>39</v>
      </c>
      <c r="F7" s="22" t="s">
        <v>47</v>
      </c>
      <c r="G7" s="22" t="s">
        <v>177</v>
      </c>
      <c r="H7" s="27" t="s">
        <v>196</v>
      </c>
      <c r="I7" s="22" t="s">
        <v>13</v>
      </c>
      <c r="J7" s="22" t="s">
        <v>13</v>
      </c>
    </row>
    <row r="8" spans="1:10" x14ac:dyDescent="0.25">
      <c r="A8" s="22">
        <v>6</v>
      </c>
      <c r="B8" s="22">
        <v>5</v>
      </c>
      <c r="C8" s="26" t="s">
        <v>37</v>
      </c>
      <c r="D8" s="22" t="s">
        <v>34</v>
      </c>
      <c r="E8" s="22" t="s">
        <v>39</v>
      </c>
      <c r="F8" s="22" t="s">
        <v>47</v>
      </c>
      <c r="G8" s="22" t="s">
        <v>177</v>
      </c>
      <c r="H8" s="22" t="s">
        <v>196</v>
      </c>
      <c r="I8" s="27" t="s">
        <v>197</v>
      </c>
      <c r="J8" s="22" t="s">
        <v>13</v>
      </c>
    </row>
    <row r="9" spans="1:10" x14ac:dyDescent="0.25">
      <c r="A9" s="22">
        <v>7</v>
      </c>
      <c r="B9" s="22">
        <v>6</v>
      </c>
      <c r="C9" s="26" t="s">
        <v>41</v>
      </c>
      <c r="D9" s="22" t="s">
        <v>34</v>
      </c>
      <c r="E9" s="22" t="s">
        <v>39</v>
      </c>
      <c r="F9" s="22" t="s">
        <v>47</v>
      </c>
      <c r="G9" s="22" t="s">
        <v>177</v>
      </c>
      <c r="H9" s="22" t="s">
        <v>196</v>
      </c>
      <c r="I9" s="22" t="s">
        <v>197</v>
      </c>
      <c r="J9" s="27" t="s">
        <v>198</v>
      </c>
    </row>
    <row r="10" spans="1:10" x14ac:dyDescent="0.25">
      <c r="A10" s="22">
        <v>8</v>
      </c>
      <c r="B10" s="22">
        <v>7</v>
      </c>
      <c r="C10" s="26" t="s">
        <v>45</v>
      </c>
      <c r="D10" s="22" t="s">
        <v>34</v>
      </c>
      <c r="E10" s="22" t="s">
        <v>39</v>
      </c>
      <c r="F10" s="22" t="s">
        <v>47</v>
      </c>
      <c r="G10" s="22" t="s">
        <v>177</v>
      </c>
      <c r="H10" s="22" t="s">
        <v>196</v>
      </c>
      <c r="I10" s="22" t="s">
        <v>197</v>
      </c>
      <c r="J10" s="22" t="s">
        <v>198</v>
      </c>
    </row>
    <row r="11" spans="1:10" x14ac:dyDescent="0.25">
      <c r="A11" s="22">
        <v>9</v>
      </c>
      <c r="B11" s="22">
        <v>8</v>
      </c>
      <c r="C11" s="26" t="s">
        <v>49</v>
      </c>
      <c r="D11" s="27" t="s">
        <v>65</v>
      </c>
      <c r="E11" s="22" t="s">
        <v>39</v>
      </c>
      <c r="F11" s="22" t="s">
        <v>47</v>
      </c>
      <c r="G11" s="22" t="s">
        <v>177</v>
      </c>
      <c r="H11" s="22" t="s">
        <v>196</v>
      </c>
      <c r="I11" s="22" t="s">
        <v>197</v>
      </c>
      <c r="J11" s="22" t="s">
        <v>198</v>
      </c>
    </row>
    <row r="12" spans="1:10" x14ac:dyDescent="0.25">
      <c r="A12" s="22">
        <v>10</v>
      </c>
      <c r="B12" s="22">
        <v>9</v>
      </c>
      <c r="C12" s="26" t="s">
        <v>53</v>
      </c>
      <c r="D12" s="22" t="s">
        <v>65</v>
      </c>
      <c r="E12" s="27" t="s">
        <v>68</v>
      </c>
      <c r="F12" s="22" t="s">
        <v>47</v>
      </c>
      <c r="G12" s="22" t="s">
        <v>177</v>
      </c>
      <c r="H12" s="22" t="s">
        <v>196</v>
      </c>
      <c r="I12" s="22" t="s">
        <v>197</v>
      </c>
      <c r="J12" s="22" t="s">
        <v>198</v>
      </c>
    </row>
    <row r="13" spans="1:10" x14ac:dyDescent="0.25">
      <c r="A13" s="22">
        <v>11</v>
      </c>
      <c r="B13" s="22">
        <v>10</v>
      </c>
      <c r="C13" s="26" t="s">
        <v>55</v>
      </c>
      <c r="D13" s="22" t="s">
        <v>65</v>
      </c>
      <c r="E13" s="22" t="s">
        <v>68</v>
      </c>
      <c r="F13" s="27" t="s">
        <v>70</v>
      </c>
      <c r="G13" s="22" t="s">
        <v>177</v>
      </c>
      <c r="H13" s="22" t="s">
        <v>196</v>
      </c>
      <c r="I13" s="22" t="s">
        <v>197</v>
      </c>
      <c r="J13" s="22" t="s">
        <v>198</v>
      </c>
    </row>
    <row r="14" spans="1:10" x14ac:dyDescent="0.25">
      <c r="A14" s="22">
        <v>12</v>
      </c>
      <c r="B14" s="22">
        <v>11</v>
      </c>
      <c r="C14" s="26" t="s">
        <v>59</v>
      </c>
      <c r="D14" s="22" t="s">
        <v>65</v>
      </c>
      <c r="E14" s="22" t="s">
        <v>68</v>
      </c>
      <c r="F14" s="22" t="s">
        <v>70</v>
      </c>
      <c r="G14" s="27" t="s">
        <v>176</v>
      </c>
      <c r="H14" s="22" t="s">
        <v>196</v>
      </c>
      <c r="I14" s="22" t="s">
        <v>197</v>
      </c>
      <c r="J14" s="22" t="s">
        <v>198</v>
      </c>
    </row>
    <row r="15" spans="1:10" x14ac:dyDescent="0.25">
      <c r="A15" s="22">
        <v>13</v>
      </c>
      <c r="B15" s="22">
        <v>12</v>
      </c>
      <c r="C15" s="26" t="s">
        <v>61</v>
      </c>
      <c r="D15" s="22" t="s">
        <v>65</v>
      </c>
      <c r="E15" s="22" t="s">
        <v>68</v>
      </c>
      <c r="F15" s="22" t="s">
        <v>70</v>
      </c>
      <c r="G15" s="22" t="s">
        <v>176</v>
      </c>
      <c r="H15" s="22" t="s">
        <v>196</v>
      </c>
      <c r="I15" s="22" t="s">
        <v>197</v>
      </c>
      <c r="J15" s="22" t="s">
        <v>198</v>
      </c>
    </row>
    <row r="16" spans="1:10" x14ac:dyDescent="0.25">
      <c r="A16" s="22">
        <v>14</v>
      </c>
      <c r="B16" s="22">
        <v>4</v>
      </c>
      <c r="C16" s="26" t="s">
        <v>30</v>
      </c>
      <c r="D16" s="22" t="s">
        <v>65</v>
      </c>
      <c r="E16" s="22" t="s">
        <v>68</v>
      </c>
      <c r="F16" s="22" t="s">
        <v>70</v>
      </c>
      <c r="G16" s="22" t="s">
        <v>176</v>
      </c>
      <c r="H16" s="27" t="s">
        <v>120</v>
      </c>
      <c r="I16" s="22" t="s">
        <v>197</v>
      </c>
      <c r="J16" s="22" t="s">
        <v>198</v>
      </c>
    </row>
    <row r="17" spans="1:10" x14ac:dyDescent="0.25">
      <c r="A17" s="22">
        <v>15</v>
      </c>
      <c r="B17" s="22">
        <v>5</v>
      </c>
      <c r="C17" s="26" t="s">
        <v>37</v>
      </c>
      <c r="D17" s="22" t="s">
        <v>65</v>
      </c>
      <c r="E17" s="22" t="s">
        <v>68</v>
      </c>
      <c r="F17" s="22" t="s">
        <v>70</v>
      </c>
      <c r="G17" s="22" t="s">
        <v>176</v>
      </c>
      <c r="H17" s="22" t="s">
        <v>120</v>
      </c>
      <c r="I17" s="27" t="s">
        <v>122</v>
      </c>
      <c r="J17" s="22" t="s">
        <v>198</v>
      </c>
    </row>
    <row r="18" spans="1:10" x14ac:dyDescent="0.25">
      <c r="A18" s="22">
        <v>16</v>
      </c>
      <c r="B18" s="22">
        <v>6</v>
      </c>
      <c r="C18" s="26" t="s">
        <v>41</v>
      </c>
      <c r="D18" s="22" t="s">
        <v>65</v>
      </c>
      <c r="E18" s="22" t="s">
        <v>68</v>
      </c>
      <c r="F18" s="22" t="s">
        <v>70</v>
      </c>
      <c r="G18" s="22" t="s">
        <v>176</v>
      </c>
      <c r="H18" s="22" t="s">
        <v>120</v>
      </c>
      <c r="I18" s="22" t="s">
        <v>122</v>
      </c>
      <c r="J18" s="27" t="s">
        <v>124</v>
      </c>
    </row>
    <row r="19" spans="1:10" x14ac:dyDescent="0.25">
      <c r="A19" s="22">
        <v>17</v>
      </c>
      <c r="B19" s="22">
        <v>7</v>
      </c>
      <c r="C19" s="26" t="s">
        <v>45</v>
      </c>
      <c r="D19" s="22" t="s">
        <v>65</v>
      </c>
      <c r="E19" s="22" t="s">
        <v>68</v>
      </c>
      <c r="F19" s="22" t="s">
        <v>70</v>
      </c>
      <c r="G19" s="22" t="s">
        <v>176</v>
      </c>
      <c r="H19" s="22" t="s">
        <v>120</v>
      </c>
      <c r="I19" s="22" t="s">
        <v>122</v>
      </c>
      <c r="J19" s="22" t="s">
        <v>124</v>
      </c>
    </row>
    <row r="20" spans="1:10" x14ac:dyDescent="0.25">
      <c r="A20" s="22">
        <v>18</v>
      </c>
      <c r="B20" s="22">
        <v>8</v>
      </c>
      <c r="C20" s="26" t="s">
        <v>49</v>
      </c>
      <c r="D20" s="27" t="s">
        <v>113</v>
      </c>
      <c r="E20" s="22" t="s">
        <v>68</v>
      </c>
      <c r="F20" s="22" t="s">
        <v>70</v>
      </c>
      <c r="G20" s="22" t="s">
        <v>176</v>
      </c>
      <c r="H20" s="22" t="s">
        <v>120</v>
      </c>
      <c r="I20" s="22" t="s">
        <v>122</v>
      </c>
      <c r="J20" s="22" t="s">
        <v>124</v>
      </c>
    </row>
    <row r="21" spans="1:10" x14ac:dyDescent="0.25">
      <c r="A21" s="22">
        <v>19</v>
      </c>
      <c r="B21" s="22">
        <v>9</v>
      </c>
      <c r="C21" s="26" t="s">
        <v>53</v>
      </c>
      <c r="D21" s="22" t="s">
        <v>113</v>
      </c>
      <c r="E21" s="27" t="s">
        <v>115</v>
      </c>
      <c r="F21" s="22" t="s">
        <v>70</v>
      </c>
      <c r="G21" s="22" t="s">
        <v>176</v>
      </c>
      <c r="H21" s="22" t="s">
        <v>120</v>
      </c>
      <c r="I21" s="22" t="s">
        <v>122</v>
      </c>
      <c r="J21" s="22" t="s">
        <v>124</v>
      </c>
    </row>
    <row r="22" spans="1:10" x14ac:dyDescent="0.25">
      <c r="A22" s="22">
        <v>20</v>
      </c>
      <c r="B22" s="22">
        <v>10</v>
      </c>
      <c r="C22" s="26" t="s">
        <v>55</v>
      </c>
      <c r="D22" s="22" t="s">
        <v>113</v>
      </c>
      <c r="E22" s="22" t="s">
        <v>115</v>
      </c>
      <c r="F22" s="27" t="s">
        <v>117</v>
      </c>
      <c r="G22" s="22" t="s">
        <v>176</v>
      </c>
      <c r="H22" s="22" t="s">
        <v>120</v>
      </c>
      <c r="I22" s="22" t="s">
        <v>122</v>
      </c>
      <c r="J22" s="22" t="s">
        <v>124</v>
      </c>
    </row>
    <row r="23" spans="1:10" x14ac:dyDescent="0.25">
      <c r="A23" s="22">
        <v>21</v>
      </c>
      <c r="B23" s="22">
        <v>11</v>
      </c>
      <c r="C23" s="26" t="s">
        <v>59</v>
      </c>
      <c r="D23" s="22" t="s">
        <v>113</v>
      </c>
      <c r="E23" s="22" t="s">
        <v>115</v>
      </c>
      <c r="F23" s="22" t="s">
        <v>117</v>
      </c>
      <c r="G23" s="27" t="s">
        <v>13</v>
      </c>
      <c r="H23" s="22" t="s">
        <v>120</v>
      </c>
      <c r="I23" s="22" t="s">
        <v>122</v>
      </c>
      <c r="J23" s="22" t="s">
        <v>124</v>
      </c>
    </row>
    <row r="24" spans="1:10" x14ac:dyDescent="0.25">
      <c r="A24" s="22">
        <v>22</v>
      </c>
      <c r="B24" s="22">
        <v>12</v>
      </c>
      <c r="C24" s="26" t="s">
        <v>61</v>
      </c>
      <c r="D24" s="22" t="s">
        <v>113</v>
      </c>
      <c r="E24" s="22" t="s">
        <v>115</v>
      </c>
      <c r="F24" s="22" t="s">
        <v>117</v>
      </c>
      <c r="G24" s="22" t="s">
        <v>13</v>
      </c>
      <c r="H24" s="22" t="s">
        <v>120</v>
      </c>
      <c r="I24" s="22" t="s">
        <v>122</v>
      </c>
      <c r="J24" s="22" t="s">
        <v>124</v>
      </c>
    </row>
    <row r="25" spans="1:10" x14ac:dyDescent="0.25">
      <c r="A25" s="22">
        <v>23</v>
      </c>
      <c r="B25" s="22">
        <v>13</v>
      </c>
      <c r="C25" s="26" t="s">
        <v>72</v>
      </c>
      <c r="D25" s="22" t="s">
        <v>113</v>
      </c>
      <c r="E25" s="22" t="s">
        <v>115</v>
      </c>
      <c r="F25" s="22" t="s">
        <v>117</v>
      </c>
      <c r="G25" s="22" t="s">
        <v>13</v>
      </c>
      <c r="H25" s="22" t="s">
        <v>120</v>
      </c>
      <c r="I25" s="22" t="s">
        <v>122</v>
      </c>
      <c r="J25" s="22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FormatPr defaultRowHeight="15" outlineLevelRow="0" outlineLevelCol="0" x14ac:dyDescent="55"/>
  <cols>
    <col min="1" max="1" width="34" customWidth="1"/>
    <col min="2" max="2" width="22" customWidth="1"/>
    <col min="3" max="12" width="13" customWidth="1"/>
  </cols>
  <sheetData>
    <row r="1" spans="1:1" x14ac:dyDescent="0.25">
      <c r="A1" s="28" t="s">
        <v>199</v>
      </c>
    </row>
    <row r="2" spans="1:2" x14ac:dyDescent="0.25">
      <c r="A2" s="29" t="s">
        <v>200</v>
      </c>
      <c r="B2" s="29" t="s">
        <v>201</v>
      </c>
    </row>
    <row r="3" spans="1:2" x14ac:dyDescent="0.25">
      <c r="A3" s="29" t="s">
        <v>202</v>
      </c>
      <c r="B3" s="29" t="s">
        <v>203</v>
      </c>
    </row>
    <row r="4" spans="1:2" x14ac:dyDescent="0.25">
      <c r="A4" s="29" t="s">
        <v>204</v>
      </c>
      <c r="B4" s="29" t="s">
        <v>205</v>
      </c>
    </row>
    <row r="5" spans="1:2" x14ac:dyDescent="0.25">
      <c r="A5" s="29" t="s">
        <v>206</v>
      </c>
      <c r="B5" s="29">
        <v>8</v>
      </c>
    </row>
    <row r="6" spans="1:2" x14ac:dyDescent="0.25">
      <c r="A6" s="29" t="s">
        <v>207</v>
      </c>
      <c r="B6" s="29">
        <v>16</v>
      </c>
    </row>
    <row r="7" spans="1:2" x14ac:dyDescent="0.25">
      <c r="A7" s="29" t="s">
        <v>208</v>
      </c>
      <c r="B7" s="29" t="s">
        <v>209</v>
      </c>
    </row>
    <row r="8" spans="1:2" x14ac:dyDescent="0.25">
      <c r="A8" s="29" t="s">
        <v>210</v>
      </c>
      <c r="B8" s="29" t="s">
        <v>211</v>
      </c>
    </row>
    <row r="9" spans="1:2" x14ac:dyDescent="0.25">
      <c r="A9" s="29" t="s">
        <v>212</v>
      </c>
      <c r="B9" s="29" t="s">
        <v>213</v>
      </c>
    </row>
    <row r="10" spans="1:2" x14ac:dyDescent="0.25">
      <c r="A10" s="29" t="s">
        <v>214</v>
      </c>
      <c r="B10" s="29" t="s">
        <v>13</v>
      </c>
    </row>
    <row r="12" spans="1:4" x14ac:dyDescent="0.25">
      <c r="A12" s="28" t="s">
        <v>215</v>
      </c>
      <c r="B12" s="30" t="s">
        <v>3</v>
      </c>
      <c r="C12" s="31" t="s">
        <v>216</v>
      </c>
      <c r="D12" s="32" t="s">
        <v>5</v>
      </c>
    </row>
    <row r="13" spans="1:4" x14ac:dyDescent="0.25">
      <c r="A13" s="29" t="s">
        <v>217</v>
      </c>
      <c r="B13" s="33">
        <v>9</v>
      </c>
      <c r="C13" s="33">
        <v>4</v>
      </c>
      <c r="D13" s="33">
        <v>3</v>
      </c>
    </row>
    <row r="14" spans="1:4" x14ac:dyDescent="0.25">
      <c r="A14" s="29" t="s">
        <v>218</v>
      </c>
      <c r="B14" s="33">
        <v>10</v>
      </c>
      <c r="C14" s="33">
        <v>3</v>
      </c>
      <c r="D14" s="33">
        <v>3</v>
      </c>
    </row>
    <row r="15" spans="1:4" x14ac:dyDescent="0.25">
      <c r="A15" s="29" t="s">
        <v>219</v>
      </c>
      <c r="B15" s="33">
        <v>11</v>
      </c>
      <c r="C15" s="33">
        <v>2</v>
      </c>
      <c r="D15" s="33">
        <v>3</v>
      </c>
    </row>
    <row r="16" spans="1:4" x14ac:dyDescent="0.25">
      <c r="A16" s="29" t="s">
        <v>220</v>
      </c>
      <c r="B16" s="33">
        <v>13</v>
      </c>
      <c r="C16" s="33">
        <v>0</v>
      </c>
      <c r="D16" s="33">
        <v>3</v>
      </c>
    </row>
    <row r="18" spans="1:7" x14ac:dyDescent="0.25">
      <c r="A18" s="28" t="s">
        <v>221</v>
      </c>
      <c r="B18" s="34" t="s">
        <v>222</v>
      </c>
      <c r="C18" s="34" t="s">
        <v>223</v>
      </c>
      <c r="D18" s="34" t="s">
        <v>224</v>
      </c>
      <c r="E18" s="34" t="s">
        <v>225</v>
      </c>
      <c r="F18" s="34" t="s">
        <v>226</v>
      </c>
      <c r="G18" s="34" t="s">
        <v>227</v>
      </c>
    </row>
    <row r="19" spans="1:7" x14ac:dyDescent="0.25">
      <c r="A19" s="29" t="s">
        <v>217</v>
      </c>
      <c r="B19" s="33">
        <v>29</v>
      </c>
      <c r="C19" s="33">
        <v>16</v>
      </c>
      <c r="D19" s="33">
        <v>13</v>
      </c>
      <c r="E19" s="35">
        <v>0.5517241379310345</v>
      </c>
      <c r="F19" s="33">
        <v>6</v>
      </c>
      <c r="G19" s="33">
        <v>1</v>
      </c>
    </row>
    <row r="20" spans="1:7" x14ac:dyDescent="0.25">
      <c r="A20" s="29" t="s">
        <v>218</v>
      </c>
      <c r="B20" s="33">
        <v>29</v>
      </c>
      <c r="C20" s="33">
        <v>16</v>
      </c>
      <c r="D20" s="33">
        <v>13</v>
      </c>
      <c r="E20" s="35">
        <v>0.5517241379310345</v>
      </c>
      <c r="F20" s="33">
        <v>5</v>
      </c>
      <c r="G20" s="33">
        <v>1</v>
      </c>
    </row>
    <row r="21" spans="1:7" x14ac:dyDescent="0.25">
      <c r="A21" s="29" t="s">
        <v>219</v>
      </c>
      <c r="B21" s="33">
        <v>29</v>
      </c>
      <c r="C21" s="33">
        <v>19</v>
      </c>
      <c r="D21" s="33">
        <v>10</v>
      </c>
      <c r="E21" s="35">
        <v>0.6551724137931034</v>
      </c>
      <c r="F21" s="33">
        <v>1</v>
      </c>
      <c r="G21" s="33">
        <v>0</v>
      </c>
    </row>
    <row r="22" spans="1:7" x14ac:dyDescent="0.25">
      <c r="A22" s="29" t="s">
        <v>220</v>
      </c>
      <c r="B22" s="33">
        <v>29</v>
      </c>
      <c r="C22" s="33">
        <v>19</v>
      </c>
      <c r="D22" s="33">
        <v>10</v>
      </c>
      <c r="E22" s="35">
        <v>0.6551724137931034</v>
      </c>
      <c r="F22" s="33">
        <v>0</v>
      </c>
      <c r="G22" s="33">
        <v>0</v>
      </c>
    </row>
    <row r="24" spans="1:1" x14ac:dyDescent="0.25">
      <c r="A24" s="28" t="s">
        <v>228</v>
      </c>
    </row>
    <row r="25" spans="1:3" x14ac:dyDescent="0.25">
      <c r="A25" s="24" t="s">
        <v>193</v>
      </c>
      <c r="B25" s="24" t="s">
        <v>186</v>
      </c>
      <c r="C25" s="24" t="s">
        <v>185</v>
      </c>
    </row>
    <row r="26" spans="1:3" x14ac:dyDescent="0.25">
      <c r="A26" s="33">
        <v>0</v>
      </c>
      <c r="B26" s="33" t="s">
        <v>13</v>
      </c>
      <c r="C26" s="36" t="s">
        <v>11</v>
      </c>
    </row>
    <row r="27" spans="1:3" x14ac:dyDescent="0.25">
      <c r="A27" s="33">
        <v>1</v>
      </c>
      <c r="B27" s="33" t="s">
        <v>21</v>
      </c>
      <c r="C27" s="36" t="s">
        <v>20</v>
      </c>
    </row>
    <row r="28" spans="1:3" x14ac:dyDescent="0.25">
      <c r="A28" s="33">
        <v>2</v>
      </c>
      <c r="B28" s="33" t="s">
        <v>25</v>
      </c>
      <c r="C28" s="36" t="s">
        <v>24</v>
      </c>
    </row>
    <row r="29" spans="1:3" x14ac:dyDescent="0.25">
      <c r="A29" s="33">
        <v>3</v>
      </c>
      <c r="B29" s="33" t="s">
        <v>29</v>
      </c>
      <c r="C29" s="36" t="s">
        <v>28</v>
      </c>
    </row>
    <row r="30" spans="1:3" x14ac:dyDescent="0.25">
      <c r="A30" s="33">
        <v>4</v>
      </c>
      <c r="B30" s="33" t="s">
        <v>31</v>
      </c>
      <c r="C30" s="36" t="s">
        <v>30</v>
      </c>
    </row>
    <row r="31" spans="1:3" x14ac:dyDescent="0.25">
      <c r="A31" s="33">
        <v>5</v>
      </c>
      <c r="B31" s="33" t="s">
        <v>38</v>
      </c>
      <c r="C31" s="36" t="s">
        <v>37</v>
      </c>
    </row>
    <row r="32" spans="1:3" x14ac:dyDescent="0.25">
      <c r="A32" s="33">
        <v>6</v>
      </c>
      <c r="B32" s="33" t="s">
        <v>42</v>
      </c>
      <c r="C32" s="36" t="s">
        <v>41</v>
      </c>
    </row>
    <row r="33" spans="1:3" x14ac:dyDescent="0.25">
      <c r="A33" s="33">
        <v>7</v>
      </c>
      <c r="B33" s="33" t="s">
        <v>46</v>
      </c>
      <c r="C33" s="36" t="s">
        <v>45</v>
      </c>
    </row>
    <row r="34" spans="1:3" x14ac:dyDescent="0.25">
      <c r="A34" s="33">
        <v>8</v>
      </c>
      <c r="B34" s="33" t="s">
        <v>50</v>
      </c>
      <c r="C34" s="36" t="s">
        <v>49</v>
      </c>
    </row>
    <row r="35" spans="1:3" x14ac:dyDescent="0.25">
      <c r="A35" s="33">
        <v>9</v>
      </c>
      <c r="B35" s="33" t="s">
        <v>54</v>
      </c>
      <c r="C35" s="36" t="s">
        <v>53</v>
      </c>
    </row>
    <row r="36" spans="1:3" x14ac:dyDescent="0.25">
      <c r="A36" s="33">
        <v>10</v>
      </c>
      <c r="B36" s="33" t="s">
        <v>56</v>
      </c>
      <c r="C36" s="36" t="s">
        <v>55</v>
      </c>
    </row>
    <row r="37" spans="1:3" x14ac:dyDescent="0.25">
      <c r="A37" s="33">
        <v>11</v>
      </c>
      <c r="B37" s="33" t="s">
        <v>60</v>
      </c>
      <c r="C37" s="36" t="s">
        <v>59</v>
      </c>
    </row>
    <row r="38" spans="1:3" x14ac:dyDescent="0.25">
      <c r="A38" s="33">
        <v>12</v>
      </c>
      <c r="B38" s="33" t="s">
        <v>62</v>
      </c>
      <c r="C38" s="36" t="s">
        <v>61</v>
      </c>
    </row>
    <row r="39" spans="1:3" x14ac:dyDescent="0.25">
      <c r="A39" s="33">
        <v>13</v>
      </c>
      <c r="B39" s="33" t="s">
        <v>73</v>
      </c>
      <c r="C39" s="36" t="s">
        <v>72</v>
      </c>
    </row>
    <row r="41" spans="1:1" x14ac:dyDescent="0.25">
      <c r="A41" s="28" t="s">
        <v>229</v>
      </c>
    </row>
    <row r="42" spans="1:9" x14ac:dyDescent="0.25">
      <c r="A42" s="24" t="s">
        <v>230</v>
      </c>
      <c r="B42" s="24" t="s">
        <v>77</v>
      </c>
      <c r="C42" s="24" t="s">
        <v>78</v>
      </c>
      <c r="D42" s="24" t="s">
        <v>79</v>
      </c>
      <c r="E42" s="24" t="s">
        <v>80</v>
      </c>
      <c r="F42" s="24" t="s">
        <v>81</v>
      </c>
      <c r="G42" s="24" t="s">
        <v>82</v>
      </c>
      <c r="H42" s="24" t="s">
        <v>83</v>
      </c>
      <c r="I42" s="24" t="s">
        <v>84</v>
      </c>
    </row>
    <row r="43" spans="1:9" x14ac:dyDescent="0.25">
      <c r="A43" s="33" t="s">
        <v>34</v>
      </c>
      <c r="B43" s="33" t="s">
        <v>86</v>
      </c>
      <c r="C43" s="33" t="s">
        <v>88</v>
      </c>
      <c r="D43" s="33" t="s">
        <v>88</v>
      </c>
      <c r="E43" s="33" t="s">
        <v>88</v>
      </c>
      <c r="F43" s="33" t="s">
        <v>89</v>
      </c>
      <c r="G43" s="33" t="s">
        <v>88</v>
      </c>
      <c r="H43" s="33" t="s">
        <v>88</v>
      </c>
      <c r="I43" s="33" t="s">
        <v>88</v>
      </c>
    </row>
    <row r="44" spans="1:9" x14ac:dyDescent="0.25">
      <c r="A44" s="33" t="s">
        <v>39</v>
      </c>
      <c r="B44" s="33" t="s">
        <v>88</v>
      </c>
      <c r="C44" s="33" t="s">
        <v>87</v>
      </c>
      <c r="D44" s="33" t="s">
        <v>88</v>
      </c>
      <c r="E44" s="33" t="s">
        <v>88</v>
      </c>
      <c r="F44" s="33" t="s">
        <v>88</v>
      </c>
      <c r="G44" s="33" t="s">
        <v>90</v>
      </c>
      <c r="H44" s="33" t="s">
        <v>88</v>
      </c>
      <c r="I44" s="33" t="s">
        <v>88</v>
      </c>
    </row>
    <row r="45" spans="1:9" x14ac:dyDescent="0.25">
      <c r="A45" s="33" t="s">
        <v>47</v>
      </c>
      <c r="B45" s="33" t="s">
        <v>88</v>
      </c>
      <c r="C45" s="33" t="s">
        <v>88</v>
      </c>
      <c r="D45" s="33" t="s">
        <v>88</v>
      </c>
      <c r="E45" s="33" t="s">
        <v>88</v>
      </c>
      <c r="F45" s="33" t="s">
        <v>88</v>
      </c>
      <c r="G45" s="33" t="s">
        <v>88</v>
      </c>
      <c r="H45" s="33" t="s">
        <v>88</v>
      </c>
      <c r="I45" s="3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Mapeo Directo(DM)</vt:lpstr>
      <vt:lpstr>SA2W</vt:lpstr>
      <vt:lpstr>SA4W</vt:lpstr>
      <vt:lpstr>FA</vt:lpstr>
      <vt:lpstr>DM - evolución</vt:lpstr>
      <vt:lpstr>SA2W - evolución</vt:lpstr>
      <vt:lpstr>SA4W - evolución</vt:lpstr>
      <vt:lpstr>FA - evolución</vt:lpstr>
      <vt:lpstr>Registros</vt:lpstr>
      <vt:lpstr>Enunciado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CacheTrace</dc:creator>
  <dc:title/>
  <dc:subject/>
  <dc:description/>
  <cp:keywords/>
  <cp:category/>
  <cp:lastModifiedBy>CacheTrace</cp:lastModifiedBy>
  <dcterms:created xsi:type="dcterms:W3CDTF">2026-10-01T08:53:56Z</dcterms:created>
  <dcterms:modified xsi:type="dcterms:W3CDTF">2026-10-01T08:53:56Z</dcterms:modified>
</cp:coreProperties>
</file>